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cumentos\IEJAGA\2026\PDA\CCCD2026\"/>
    </mc:Choice>
  </mc:AlternateContent>
  <xr:revisionPtr revIDLastSave="0" documentId="13_ncr:1_{5B1AC30F-CC16-42DF-BC95-7437EBCE80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Y BALANCE" sheetId="1" r:id="rId1"/>
    <sheet name="PRESUPUESTO" sheetId="2" r:id="rId2"/>
    <sheet name="RELACION_GAS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2" l="1"/>
  <c r="H30" i="2"/>
  <c r="H31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B7" i="1" s="1"/>
  <c r="E7" i="1" s="1"/>
  <c r="H20" i="2"/>
  <c r="B10" i="1" s="1"/>
  <c r="E10" i="1" s="1"/>
  <c r="H21" i="2"/>
  <c r="H22" i="2"/>
  <c r="H23" i="2"/>
  <c r="H24" i="2"/>
  <c r="H25" i="2"/>
  <c r="H26" i="2"/>
  <c r="H27" i="2"/>
  <c r="H28" i="2"/>
  <c r="H29" i="2"/>
  <c r="H5" i="2"/>
  <c r="H30" i="3"/>
  <c r="C12" i="1"/>
  <c r="B12" i="1"/>
  <c r="E12" i="1" s="1"/>
  <c r="C11" i="1"/>
  <c r="B11" i="1"/>
  <c r="E11" i="1" s="1"/>
  <c r="C10" i="1"/>
  <c r="C9" i="1"/>
  <c r="B9" i="1"/>
  <c r="E9" i="1" s="1"/>
  <c r="C8" i="1"/>
  <c r="B8" i="1"/>
  <c r="E8" i="1" s="1"/>
  <c r="C7" i="1"/>
  <c r="C6" i="1"/>
  <c r="C13" i="1" s="1"/>
  <c r="B6" i="1"/>
  <c r="B13" i="1" l="1"/>
  <c r="F11" i="1"/>
  <c r="E13" i="1"/>
  <c r="F7" i="1"/>
  <c r="F8" i="1"/>
  <c r="F9" i="1"/>
  <c r="F10" i="1"/>
  <c r="F12" i="1"/>
  <c r="D10" i="1"/>
  <c r="D7" i="1"/>
  <c r="F6" i="1"/>
  <c r="D11" i="1"/>
  <c r="D8" i="1"/>
  <c r="D12" i="1"/>
  <c r="D9" i="1"/>
  <c r="D6" i="1"/>
  <c r="E6" i="1"/>
  <c r="D13" i="1" l="1"/>
  <c r="F13" i="1"/>
</calcChain>
</file>

<file path=xl/sharedStrings.xml><?xml version="1.0" encoding="utf-8"?>
<sst xmlns="http://schemas.openxmlformats.org/spreadsheetml/2006/main" count="218" uniqueCount="98">
  <si>
    <t>CONCURSO COLOMBIANO DE COHETERÍA DEPORTIVA 2026 (CCCD 2026)</t>
  </si>
  <si>
    <t>Delegación PDA (Noctux, Stars, Rocketeers) — Institución Educativa José Antonio Galán</t>
  </si>
  <si>
    <t>TABLERO DE CONTROL FINANCIERO: PRESUPUESTO PROYECTADO VS. GASTOS REALES EJECUTADOS</t>
  </si>
  <si>
    <t>RUBRO FINANCIERO</t>
  </si>
  <si>
    <t>PRESUPUESTO ESTIMADO (COP)</t>
  </si>
  <si>
    <t>GASTO REAL EJECUTADO (COP)</t>
  </si>
  <si>
    <t>SALDO DISPONIBLE (COP)</t>
  </si>
  <si>
    <t>% EJECUCIÓN</t>
  </si>
  <si>
    <t>ESTADO</t>
  </si>
  <si>
    <t>Propulsión y Motores Certificados</t>
  </si>
  <si>
    <t>Estructura Aerodinámica y Fuselaje</t>
  </si>
  <si>
    <t>Sistema de Recuperación y Seguridad</t>
  </si>
  <si>
    <t>Aviónica, Telemetría y Carga Útil</t>
  </si>
  <si>
    <t>Herramientas de Taller y Consumibles</t>
  </si>
  <si>
    <t>Logística de Lanzamiento, Transporte y Campo</t>
  </si>
  <si>
    <t>Inscripciones, Pólizas y Administrativo</t>
  </si>
  <si>
    <t>TOTAL CONSOLIDADO</t>
  </si>
  <si>
    <t>PRESUPUESTO DETALLADO POR CATEGORÍA — CCCD 2026</t>
  </si>
  <si>
    <t>Propuesta Inicial General (3 Equipos PDA)</t>
  </si>
  <si>
    <t>ÍTEM</t>
  </si>
  <si>
    <t>ASIGNACIÓN (CAT/EQUIPO)</t>
  </si>
  <si>
    <t>DESCRIPCIÓN DEL ARTÍCULO / ESPECIFICACIÓN TÉCNICA</t>
  </si>
  <si>
    <t>CANTIDAD</t>
  </si>
  <si>
    <t>UNIDAD</t>
  </si>
  <si>
    <t>VALOR UNITARIO (COP)</t>
  </si>
  <si>
    <t>TOTAL PROYECTADO (COP)</t>
  </si>
  <si>
    <t>PRIORIDAD</t>
  </si>
  <si>
    <t>PROVEEDOR SUGERIDO</t>
  </si>
  <si>
    <t>OBSERVACIONES</t>
  </si>
  <si>
    <t>Cat 1 - Noctux</t>
  </si>
  <si>
    <t>Tubo BT65</t>
  </si>
  <si>
    <t>Unidad</t>
  </si>
  <si>
    <t>Media</t>
  </si>
  <si>
    <t>Proveedores locales</t>
  </si>
  <si>
    <t>Cohete sencillo sin electrónica interna</t>
  </si>
  <si>
    <t>Cordón de choque</t>
  </si>
  <si>
    <t>Alta</t>
  </si>
  <si>
    <t>Confección propia</t>
  </si>
  <si>
    <t>Cat 2 - Stars</t>
  </si>
  <si>
    <t>Tubo BT80</t>
  </si>
  <si>
    <t>Altímetro Jolly Logic AltimeterOne</t>
  </si>
  <si>
    <t>Jolly Logic / Amazon</t>
  </si>
  <si>
    <t>Altímetro obligatorio por reglamento</t>
  </si>
  <si>
    <t>Electrónica</t>
  </si>
  <si>
    <t>Lote</t>
  </si>
  <si>
    <t>Tienda electrónica</t>
  </si>
  <si>
    <t>Valor por definir</t>
  </si>
  <si>
    <t>Confección</t>
  </si>
  <si>
    <t>Inscripción equipo PDA Stars al CCCD</t>
  </si>
  <si>
    <t>Pago</t>
  </si>
  <si>
    <t>Organización CCCD</t>
  </si>
  <si>
    <t>Única inscripción pendiente por pagar</t>
  </si>
  <si>
    <t>Cat 3 - Rocketeers</t>
  </si>
  <si>
    <t>Tubo cartón 4 pulgadas</t>
  </si>
  <si>
    <t>Tubo porta motor</t>
  </si>
  <si>
    <t>Madera para aletas</t>
  </si>
  <si>
    <t>Distribuidor local</t>
  </si>
  <si>
    <t>Molde para ojiva</t>
  </si>
  <si>
    <t>Proveedores</t>
  </si>
  <si>
    <t>Ferretería náutica</t>
  </si>
  <si>
    <t>Guías de lanzamiento</t>
  </si>
  <si>
    <t>Par</t>
  </si>
  <si>
    <t>Mecanizados</t>
  </si>
  <si>
    <t>Herrajes y tornillos</t>
  </si>
  <si>
    <t>Ferretería</t>
  </si>
  <si>
    <t>General - Toda Delegación</t>
  </si>
  <si>
    <t>Hospedaje en Finca - Santa Fe de Antioquia (Fin de semana)</t>
  </si>
  <si>
    <t>Servicio</t>
  </si>
  <si>
    <t>Inmobiliaria / Airbnb</t>
  </si>
  <si>
    <t>Alojamiento para toda la delegación (docentes y equipos)</t>
  </si>
  <si>
    <t>Transporte terrestre ida y regreso (La Estrella - Santa Fe de Antioquia)</t>
  </si>
  <si>
    <t>Empresa de transporte</t>
  </si>
  <si>
    <t>Bus / Busetas para todo el grupo</t>
  </si>
  <si>
    <t>PLA (Impresión 3D)</t>
  </si>
  <si>
    <t>Rollo</t>
  </si>
  <si>
    <t>Proveedor local</t>
  </si>
  <si>
    <t>PETG + CF (Impresión 3D con fibra de carbono)</t>
  </si>
  <si>
    <t>Tela Ripstop Paracaídas</t>
  </si>
  <si>
    <t>Textilera</t>
  </si>
  <si>
    <t>Nylon trenzado</t>
  </si>
  <si>
    <t>Pinturas</t>
  </si>
  <si>
    <t>Vinilo adhesivo</t>
  </si>
  <si>
    <t>Papelería</t>
  </si>
  <si>
    <t>Adhesivos para letras y parches de misión (Impreso)</t>
  </si>
  <si>
    <t>Litografía</t>
  </si>
  <si>
    <t>TOTAL GENERAL PRESUPUESTADO CCCD 2026</t>
  </si>
  <si>
    <t>RELACIÓN Y CONTROL DE GASTOS REALES EJECUTADOS — CCCD 2026</t>
  </si>
  <si>
    <t>FECHA</t>
  </si>
  <si>
    <t>N° FACTURA</t>
  </si>
  <si>
    <t>PROVEEDOR</t>
  </si>
  <si>
    <t>ASIGNACIÓN (CAT)</t>
  </si>
  <si>
    <t>DESCRIPCIÓN</t>
  </si>
  <si>
    <t>VALOR TOTAL (COP)</t>
  </si>
  <si>
    <t>FORMA DE PAGO</t>
  </si>
  <si>
    <t>RESPONSABLE</t>
  </si>
  <si>
    <t>TOTAL GASTOS EJECUTADOS ACUMULADOS</t>
  </si>
  <si>
    <t>Resina Epóxica</t>
  </si>
  <si>
    <t>Boquilla acero endurecido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</si>
</sst>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E3A8A"/>
      <name val="Segoe UI"/>
    </font>
    <font>
      <i/>
      <sz val="10"/>
      <color rgb="FF4B5563"/>
      <name val="Segoe UI"/>
    </font>
    <font>
      <b/>
      <sz val="10"/>
      <color rgb="FF0D9488"/>
      <name val="Segoe UI"/>
    </font>
    <font>
      <b/>
      <sz val="10"/>
      <color rgb="FFFFFFFF"/>
      <name val="Segoe UI"/>
    </font>
    <font>
      <sz val="10"/>
      <color rgb="FF1F2937"/>
      <name val="Segoe UI"/>
    </font>
    <font>
      <b/>
      <sz val="10"/>
      <color rgb="FF1E3A8A"/>
      <name val="Segoe UI"/>
    </font>
    <font>
      <b/>
      <sz val="10"/>
      <color rgb="FF111827"/>
      <name val="Segoe UI"/>
    </font>
    <font>
      <b/>
      <sz val="11"/>
      <color rgb="FF1E3A8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0E7FF"/>
        <bgColor rgb="FFE0E7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1E3A8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2" xfId="0" applyFont="1" applyFill="1" applyBorder="1"/>
    <xf numFmtId="164" fontId="6" fillId="3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0" fillId="3" borderId="2" xfId="0" applyFill="1" applyBorder="1"/>
    <xf numFmtId="164" fontId="8" fillId="3" borderId="2" xfId="0" applyNumberFormat="1" applyFont="1" applyFill="1" applyBorder="1" applyAlignment="1">
      <alignment horizontal="right" vertical="center"/>
    </xf>
    <xf numFmtId="164" fontId="0" fillId="0" borderId="1" xfId="0" applyNumberFormat="1" applyBorder="1"/>
    <xf numFmtId="0" fontId="6" fillId="3" borderId="2" xfId="0" applyFont="1" applyFill="1" applyBorder="1" applyAlignment="1">
      <alignment horizontal="right" vertical="center"/>
    </xf>
    <xf numFmtId="0" fontId="0" fillId="3" borderId="2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47" customWidth="1"/>
    <col min="2" max="2" width="48" customWidth="1"/>
    <col min="3" max="3" width="56" customWidth="1"/>
    <col min="4" max="5" width="25" customWidth="1"/>
    <col min="6" max="6" width="101" customWidth="1"/>
  </cols>
  <sheetData>
    <row r="1" spans="1:6" ht="20.399999999999999" x14ac:dyDescent="0.45">
      <c r="A1" s="1" t="s">
        <v>0</v>
      </c>
    </row>
    <row r="2" spans="1:6" ht="15" x14ac:dyDescent="0.35">
      <c r="A2" s="2" t="s">
        <v>1</v>
      </c>
    </row>
    <row r="3" spans="1:6" ht="15" x14ac:dyDescent="0.35">
      <c r="A3" s="3" t="s">
        <v>2</v>
      </c>
    </row>
    <row r="5" spans="1:6" ht="15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15" x14ac:dyDescent="0.3">
      <c r="A6" s="5" t="s">
        <v>9</v>
      </c>
      <c r="B6" s="6">
        <f>SUMIF(PRESUPUESTO!B:B, A6, PRESUPUESTO!H:H)</f>
        <v>0</v>
      </c>
      <c r="C6" s="6">
        <f>SUMIF(RELACION_GASTOS!E:E, A6, RELACION_GASTOS!H:H)</f>
        <v>0</v>
      </c>
      <c r="D6" s="6">
        <f t="shared" ref="D6:D12" si="0">B6-C6</f>
        <v>0</v>
      </c>
      <c r="E6" s="7">
        <f t="shared" ref="E6:E13" si="1">IF(B6&gt;0, C6/B6, 0)</f>
        <v>0</v>
      </c>
      <c r="F6" s="8" t="str">
        <f t="shared" ref="F6:F12" si="2">IF(C6&gt;B6, "SOBREGIRO", IF(C6=B6, "EJECUTADO 100%", IF(C6&gt;0, "EN EJECUCIÓN", "SIN INICIAR")))</f>
        <v>EJECUTADO 100%</v>
      </c>
    </row>
    <row r="7" spans="1:6" ht="15" x14ac:dyDescent="0.3">
      <c r="A7" s="5" t="s">
        <v>10</v>
      </c>
      <c r="B7" s="6">
        <f>SUMIF(PRESUPUESTO!B:B, A7, PRESUPUESTO!H:H)</f>
        <v>1025000</v>
      </c>
      <c r="C7" s="6">
        <f>SUMIF(RELACION_GASTOS!E:E, A7, RELACION_GASTOS!H:H)</f>
        <v>0</v>
      </c>
      <c r="D7" s="6">
        <f t="shared" si="0"/>
        <v>1025000</v>
      </c>
      <c r="E7" s="7">
        <f t="shared" si="1"/>
        <v>0</v>
      </c>
      <c r="F7" s="8" t="str">
        <f t="shared" si="2"/>
        <v>SIN INICIAR</v>
      </c>
    </row>
    <row r="8" spans="1:6" ht="15" x14ac:dyDescent="0.3">
      <c r="A8" s="5" t="s">
        <v>11</v>
      </c>
      <c r="B8" s="6">
        <f>SUMIF(PRESUPUESTO!B:B, A8, PRESUPUESTO!H:H)</f>
        <v>205000</v>
      </c>
      <c r="C8" s="6">
        <f>SUMIF(RELACION_GASTOS!E:E, A8, RELACION_GASTOS!H:H)</f>
        <v>0</v>
      </c>
      <c r="D8" s="6">
        <f t="shared" si="0"/>
        <v>205000</v>
      </c>
      <c r="E8" s="7">
        <f t="shared" si="1"/>
        <v>0</v>
      </c>
      <c r="F8" s="8" t="str">
        <f t="shared" si="2"/>
        <v>SIN INICIAR</v>
      </c>
    </row>
    <row r="9" spans="1:6" ht="15" x14ac:dyDescent="0.3">
      <c r="A9" s="5" t="s">
        <v>12</v>
      </c>
      <c r="B9" s="6">
        <f>SUMIF(PRESUPUESTO!B:B, A9, PRESUPUESTO!H:H)</f>
        <v>1300000</v>
      </c>
      <c r="C9" s="6">
        <f>SUMIF(RELACION_GASTOS!E:E, A9, RELACION_GASTOS!H:H)</f>
        <v>0</v>
      </c>
      <c r="D9" s="6">
        <f t="shared" si="0"/>
        <v>1300000</v>
      </c>
      <c r="E9" s="7">
        <f t="shared" si="1"/>
        <v>0</v>
      </c>
      <c r="F9" s="8" t="str">
        <f t="shared" si="2"/>
        <v>SIN INICIAR</v>
      </c>
    </row>
    <row r="10" spans="1:6" ht="15" x14ac:dyDescent="0.3">
      <c r="A10" s="5" t="s">
        <v>13</v>
      </c>
      <c r="B10" s="6">
        <f>SUMIF(PRESUPUESTO!B:B, A10, PRESUPUESTO!H:H)</f>
        <v>660000</v>
      </c>
      <c r="C10" s="6">
        <f>SUMIF(RELACION_GASTOS!E:E, A10, RELACION_GASTOS!H:H)</f>
        <v>0</v>
      </c>
      <c r="D10" s="6">
        <f t="shared" si="0"/>
        <v>660000</v>
      </c>
      <c r="E10" s="7">
        <f t="shared" si="1"/>
        <v>0</v>
      </c>
      <c r="F10" s="8" t="str">
        <f t="shared" si="2"/>
        <v>SIN INICIAR</v>
      </c>
    </row>
    <row r="11" spans="1:6" ht="15" x14ac:dyDescent="0.3">
      <c r="A11" s="5" t="s">
        <v>14</v>
      </c>
      <c r="B11" s="6">
        <f>SUMIF(PRESUPUESTO!B:B, A11, PRESUPUESTO!H:H)</f>
        <v>3900000</v>
      </c>
      <c r="C11" s="6">
        <f>SUMIF(RELACION_GASTOS!E:E, A11, RELACION_GASTOS!H:H)</f>
        <v>0</v>
      </c>
      <c r="D11" s="6">
        <f t="shared" si="0"/>
        <v>3900000</v>
      </c>
      <c r="E11" s="7">
        <f t="shared" si="1"/>
        <v>0</v>
      </c>
      <c r="F11" s="8" t="str">
        <f t="shared" si="2"/>
        <v>SIN INICIAR</v>
      </c>
    </row>
    <row r="12" spans="1:6" ht="15" x14ac:dyDescent="0.3">
      <c r="A12" s="5" t="s">
        <v>15</v>
      </c>
      <c r="B12" s="6">
        <f>SUMIF(PRESUPUESTO!B:B, A12, PRESUPUESTO!H:H)</f>
        <v>900000</v>
      </c>
      <c r="C12" s="6">
        <f>SUMIF(RELACION_GASTOS!E:E, A12, RELACION_GASTOS!H:H)</f>
        <v>0</v>
      </c>
      <c r="D12" s="6">
        <f t="shared" si="0"/>
        <v>900000</v>
      </c>
      <c r="E12" s="7">
        <f t="shared" si="1"/>
        <v>0</v>
      </c>
      <c r="F12" s="8" t="str">
        <f t="shared" si="2"/>
        <v>SIN INICIAR</v>
      </c>
    </row>
    <row r="13" spans="1:6" ht="15" x14ac:dyDescent="0.35">
      <c r="A13" s="9" t="s">
        <v>16</v>
      </c>
      <c r="B13" s="10">
        <f>SUM(B6:B12)</f>
        <v>7990000</v>
      </c>
      <c r="C13" s="10">
        <f>SUM(C6:C12)</f>
        <v>0</v>
      </c>
      <c r="D13" s="10">
        <f>SUM(D6:D12)</f>
        <v>7990000</v>
      </c>
      <c r="E13" s="11">
        <f t="shared" si="1"/>
        <v>0</v>
      </c>
      <c r="F13" s="12" t="str">
        <f>IF(C13&gt;B13, "ALERTA SOBREGIRO", "PRESUPUESTO DISPONIBLE")</f>
        <v>PRESUPUESTO DISPONIBLE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topLeftCell="C6" workbookViewId="0">
      <selection activeCell="E15" sqref="E15"/>
    </sheetView>
  </sheetViews>
  <sheetFormatPr baseColWidth="10" defaultColWidth="8.88671875" defaultRowHeight="14.4" x14ac:dyDescent="0.3"/>
  <cols>
    <col min="1" max="1" width="40" customWidth="1"/>
    <col min="2" max="2" width="47" customWidth="1"/>
    <col min="3" max="3" width="28" customWidth="1"/>
    <col min="4" max="4" width="75" customWidth="1"/>
    <col min="5" max="6" width="12" customWidth="1"/>
    <col min="7" max="7" width="23" customWidth="1"/>
    <col min="8" max="8" width="25" customWidth="1"/>
    <col min="9" max="9" width="12" customWidth="1"/>
    <col min="10" max="10" width="24" customWidth="1"/>
    <col min="11" max="11" width="59" customWidth="1"/>
  </cols>
  <sheetData>
    <row r="1" spans="1:11" ht="20.399999999999999" x14ac:dyDescent="0.45">
      <c r="A1" s="1" t="s">
        <v>17</v>
      </c>
    </row>
    <row r="2" spans="1:11" ht="15" x14ac:dyDescent="0.35">
      <c r="A2" s="2" t="s">
        <v>18</v>
      </c>
    </row>
    <row r="4" spans="1:11" ht="15" x14ac:dyDescent="0.3">
      <c r="A4" s="4" t="s">
        <v>19</v>
      </c>
      <c r="B4" s="4" t="s">
        <v>3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</row>
    <row r="5" spans="1:11" ht="15" x14ac:dyDescent="0.3">
      <c r="A5" s="13">
        <v>1</v>
      </c>
      <c r="B5" s="14" t="s">
        <v>10</v>
      </c>
      <c r="C5" s="13" t="s">
        <v>29</v>
      </c>
      <c r="D5" s="15" t="s">
        <v>30</v>
      </c>
      <c r="E5" s="23">
        <v>1</v>
      </c>
      <c r="F5" s="13" t="s">
        <v>31</v>
      </c>
      <c r="G5" s="16">
        <v>70000</v>
      </c>
      <c r="H5" s="17">
        <f>E5*G5</f>
        <v>70000</v>
      </c>
      <c r="I5" s="13" t="s">
        <v>32</v>
      </c>
      <c r="J5" s="14" t="s">
        <v>75</v>
      </c>
      <c r="K5" s="15" t="s">
        <v>34</v>
      </c>
    </row>
    <row r="6" spans="1:11" ht="15" x14ac:dyDescent="0.3">
      <c r="A6" s="13">
        <v>2</v>
      </c>
      <c r="B6" s="14" t="s">
        <v>11</v>
      </c>
      <c r="C6" s="13" t="s">
        <v>29</v>
      </c>
      <c r="D6" s="15" t="s">
        <v>35</v>
      </c>
      <c r="E6" s="13">
        <v>1</v>
      </c>
      <c r="F6" s="13" t="s">
        <v>31</v>
      </c>
      <c r="G6" s="16">
        <v>10000</v>
      </c>
      <c r="H6" s="17">
        <f t="shared" ref="H6:H30" si="0">E6*G6</f>
        <v>10000</v>
      </c>
      <c r="I6" s="13" t="s">
        <v>36</v>
      </c>
      <c r="J6" s="14" t="s">
        <v>37</v>
      </c>
      <c r="K6" s="15"/>
    </row>
    <row r="7" spans="1:11" ht="15" x14ac:dyDescent="0.3">
      <c r="A7" s="13">
        <v>3</v>
      </c>
      <c r="B7" s="14" t="s">
        <v>10</v>
      </c>
      <c r="C7" s="13" t="s">
        <v>38</v>
      </c>
      <c r="D7" s="15" t="s">
        <v>39</v>
      </c>
      <c r="E7" s="13">
        <v>1</v>
      </c>
      <c r="F7" s="13" t="s">
        <v>31</v>
      </c>
      <c r="G7" s="16">
        <v>90000</v>
      </c>
      <c r="H7" s="17">
        <f t="shared" si="0"/>
        <v>90000</v>
      </c>
      <c r="I7" s="13" t="s">
        <v>36</v>
      </c>
      <c r="J7" s="14" t="s">
        <v>75</v>
      </c>
      <c r="K7" s="15"/>
    </row>
    <row r="8" spans="1:11" ht="15" x14ac:dyDescent="0.3">
      <c r="A8" s="13">
        <v>4</v>
      </c>
      <c r="B8" s="14" t="s">
        <v>12</v>
      </c>
      <c r="C8" s="13" t="s">
        <v>38</v>
      </c>
      <c r="D8" s="15" t="s">
        <v>40</v>
      </c>
      <c r="E8" s="24">
        <v>1</v>
      </c>
      <c r="F8" s="13" t="s">
        <v>31</v>
      </c>
      <c r="G8" s="16">
        <v>250000</v>
      </c>
      <c r="H8" s="17">
        <f t="shared" si="0"/>
        <v>250000</v>
      </c>
      <c r="I8" s="13" t="s">
        <v>36</v>
      </c>
      <c r="J8" s="14" t="s">
        <v>41</v>
      </c>
      <c r="K8" s="15" t="s">
        <v>42</v>
      </c>
    </row>
    <row r="9" spans="1:11" ht="15" x14ac:dyDescent="0.3">
      <c r="A9" s="13">
        <v>5</v>
      </c>
      <c r="B9" s="14" t="s">
        <v>12</v>
      </c>
      <c r="C9" s="13" t="s">
        <v>38</v>
      </c>
      <c r="D9" s="15" t="s">
        <v>43</v>
      </c>
      <c r="E9" s="13">
        <v>1</v>
      </c>
      <c r="F9" s="13" t="s">
        <v>44</v>
      </c>
      <c r="G9" s="16">
        <v>300000</v>
      </c>
      <c r="H9" s="17">
        <f t="shared" si="0"/>
        <v>300000</v>
      </c>
      <c r="I9" s="13" t="s">
        <v>32</v>
      </c>
      <c r="J9" s="14" t="s">
        <v>45</v>
      </c>
      <c r="K9" s="15" t="s">
        <v>46</v>
      </c>
    </row>
    <row r="10" spans="1:11" ht="15" x14ac:dyDescent="0.3">
      <c r="A10" s="13">
        <v>6</v>
      </c>
      <c r="B10" s="14" t="s">
        <v>11</v>
      </c>
      <c r="C10" s="13" t="s">
        <v>38</v>
      </c>
      <c r="D10" s="15" t="s">
        <v>35</v>
      </c>
      <c r="E10" s="13">
        <v>1</v>
      </c>
      <c r="F10" s="13" t="s">
        <v>31</v>
      </c>
      <c r="G10" s="16">
        <v>10000</v>
      </c>
      <c r="H10" s="17">
        <f t="shared" si="0"/>
        <v>10000</v>
      </c>
      <c r="I10" s="13" t="s">
        <v>36</v>
      </c>
      <c r="J10" s="14" t="s">
        <v>47</v>
      </c>
      <c r="K10" s="15"/>
    </row>
    <row r="11" spans="1:11" ht="15" x14ac:dyDescent="0.3">
      <c r="A11" s="13">
        <v>7</v>
      </c>
      <c r="B11" s="14" t="s">
        <v>15</v>
      </c>
      <c r="C11" s="13" t="s">
        <v>38</v>
      </c>
      <c r="D11" s="15" t="s">
        <v>48</v>
      </c>
      <c r="E11" s="13">
        <v>1</v>
      </c>
      <c r="F11" s="13" t="s">
        <v>49</v>
      </c>
      <c r="G11" s="16">
        <v>900000</v>
      </c>
      <c r="H11" s="17">
        <f t="shared" si="0"/>
        <v>900000</v>
      </c>
      <c r="I11" s="13" t="s">
        <v>36</v>
      </c>
      <c r="J11" s="14" t="s">
        <v>50</v>
      </c>
      <c r="K11" s="15" t="s">
        <v>51</v>
      </c>
    </row>
    <row r="12" spans="1:11" ht="15" x14ac:dyDescent="0.3">
      <c r="A12" s="13">
        <v>8</v>
      </c>
      <c r="B12" s="14" t="s">
        <v>10</v>
      </c>
      <c r="C12" s="13" t="s">
        <v>52</v>
      </c>
      <c r="D12" s="15" t="s">
        <v>53</v>
      </c>
      <c r="E12" s="23">
        <v>2</v>
      </c>
      <c r="F12" s="13" t="s">
        <v>31</v>
      </c>
      <c r="G12" s="16">
        <v>100000</v>
      </c>
      <c r="H12" s="17">
        <f t="shared" si="0"/>
        <v>200000</v>
      </c>
      <c r="I12" s="13" t="s">
        <v>36</v>
      </c>
      <c r="J12" s="14" t="s">
        <v>33</v>
      </c>
      <c r="K12" s="15"/>
    </row>
    <row r="13" spans="1:11" ht="15" x14ac:dyDescent="0.3">
      <c r="A13" s="13">
        <v>9</v>
      </c>
      <c r="B13" s="14" t="s">
        <v>12</v>
      </c>
      <c r="C13" s="13" t="s">
        <v>52</v>
      </c>
      <c r="D13" s="15" t="s">
        <v>40</v>
      </c>
      <c r="E13" s="23">
        <v>1</v>
      </c>
      <c r="F13" s="13" t="s">
        <v>31</v>
      </c>
      <c r="G13" s="16">
        <v>250000</v>
      </c>
      <c r="H13" s="17">
        <f t="shared" si="0"/>
        <v>250000</v>
      </c>
      <c r="I13" s="13" t="s">
        <v>36</v>
      </c>
      <c r="J13" s="14" t="s">
        <v>41</v>
      </c>
      <c r="K13" s="15"/>
    </row>
    <row r="14" spans="1:11" ht="15" x14ac:dyDescent="0.3">
      <c r="A14" s="13">
        <v>10</v>
      </c>
      <c r="B14" s="14" t="s">
        <v>12</v>
      </c>
      <c r="C14" s="13" t="s">
        <v>52</v>
      </c>
      <c r="D14" s="15" t="s">
        <v>43</v>
      </c>
      <c r="E14" s="25">
        <v>1</v>
      </c>
      <c r="F14" s="13" t="s">
        <v>44</v>
      </c>
      <c r="G14" s="16">
        <v>500000</v>
      </c>
      <c r="H14" s="17">
        <f t="shared" si="0"/>
        <v>500000</v>
      </c>
      <c r="I14" s="13" t="s">
        <v>32</v>
      </c>
      <c r="J14" s="14" t="s">
        <v>45</v>
      </c>
      <c r="K14" s="15" t="s">
        <v>46</v>
      </c>
    </row>
    <row r="15" spans="1:11" ht="15" x14ac:dyDescent="0.3">
      <c r="A15" s="13">
        <v>11</v>
      </c>
      <c r="B15" s="14" t="s">
        <v>10</v>
      </c>
      <c r="C15" s="13" t="s">
        <v>52</v>
      </c>
      <c r="D15" s="15" t="s">
        <v>54</v>
      </c>
      <c r="E15" s="13">
        <v>1</v>
      </c>
      <c r="F15" s="13" t="s">
        <v>31</v>
      </c>
      <c r="G15" s="16">
        <v>50000</v>
      </c>
      <c r="H15" s="17">
        <f t="shared" si="0"/>
        <v>50000</v>
      </c>
      <c r="I15" s="13" t="s">
        <v>36</v>
      </c>
      <c r="J15" s="14" t="s">
        <v>33</v>
      </c>
      <c r="K15" s="15" t="s">
        <v>46</v>
      </c>
    </row>
    <row r="16" spans="1:11" ht="15" x14ac:dyDescent="0.3">
      <c r="A16" s="13">
        <v>12</v>
      </c>
      <c r="B16" s="14" t="s">
        <v>10</v>
      </c>
      <c r="C16" s="13" t="s">
        <v>52</v>
      </c>
      <c r="D16" s="15" t="s">
        <v>55</v>
      </c>
      <c r="E16" s="13">
        <v>1</v>
      </c>
      <c r="F16" s="13" t="s">
        <v>44</v>
      </c>
      <c r="G16" s="16">
        <v>120000</v>
      </c>
      <c r="H16" s="17">
        <f t="shared" si="0"/>
        <v>120000</v>
      </c>
      <c r="I16" s="13" t="s">
        <v>36</v>
      </c>
      <c r="J16" s="14" t="s">
        <v>56</v>
      </c>
      <c r="K16" s="15" t="s">
        <v>46</v>
      </c>
    </row>
    <row r="17" spans="1:11" ht="15" x14ac:dyDescent="0.3">
      <c r="A17" s="13">
        <v>13</v>
      </c>
      <c r="B17" s="14" t="s">
        <v>10</v>
      </c>
      <c r="C17" s="13" t="s">
        <v>52</v>
      </c>
      <c r="D17" s="15" t="s">
        <v>57</v>
      </c>
      <c r="E17" s="13">
        <v>1</v>
      </c>
      <c r="F17" s="13" t="s">
        <v>31</v>
      </c>
      <c r="G17" s="16">
        <v>300000</v>
      </c>
      <c r="H17" s="17">
        <f t="shared" si="0"/>
        <v>300000</v>
      </c>
      <c r="I17" s="13" t="s">
        <v>36</v>
      </c>
      <c r="J17" s="14" t="s">
        <v>58</v>
      </c>
      <c r="K17" s="15" t="s">
        <v>46</v>
      </c>
    </row>
    <row r="18" spans="1:11" ht="15" x14ac:dyDescent="0.3">
      <c r="A18" s="13">
        <v>14</v>
      </c>
      <c r="B18" s="14" t="s">
        <v>11</v>
      </c>
      <c r="C18" s="13" t="s">
        <v>52</v>
      </c>
      <c r="D18" s="15" t="s">
        <v>35</v>
      </c>
      <c r="E18" s="13">
        <v>1</v>
      </c>
      <c r="F18" s="13" t="s">
        <v>31</v>
      </c>
      <c r="G18" s="16">
        <v>60000</v>
      </c>
      <c r="H18" s="17">
        <f t="shared" si="0"/>
        <v>60000</v>
      </c>
      <c r="I18" s="13" t="s">
        <v>36</v>
      </c>
      <c r="J18" s="14" t="s">
        <v>59</v>
      </c>
      <c r="K18" s="15"/>
    </row>
    <row r="19" spans="1:11" ht="15" x14ac:dyDescent="0.3">
      <c r="A19" s="13">
        <v>15</v>
      </c>
      <c r="B19" s="14" t="s">
        <v>10</v>
      </c>
      <c r="C19" s="13" t="s">
        <v>52</v>
      </c>
      <c r="D19" s="15" t="s">
        <v>60</v>
      </c>
      <c r="E19" s="13">
        <v>1</v>
      </c>
      <c r="F19" s="13" t="s">
        <v>61</v>
      </c>
      <c r="G19" s="16">
        <v>20000</v>
      </c>
      <c r="H19" s="17">
        <f t="shared" si="0"/>
        <v>20000</v>
      </c>
      <c r="I19" s="13" t="s">
        <v>36</v>
      </c>
      <c r="J19" s="14" t="s">
        <v>62</v>
      </c>
      <c r="K19" s="15" t="s">
        <v>46</v>
      </c>
    </row>
    <row r="20" spans="1:11" ht="15" x14ac:dyDescent="0.3">
      <c r="A20" s="13">
        <v>16</v>
      </c>
      <c r="B20" s="14" t="s">
        <v>13</v>
      </c>
      <c r="C20" s="13" t="s">
        <v>52</v>
      </c>
      <c r="D20" s="15" t="s">
        <v>63</v>
      </c>
      <c r="E20" s="13">
        <v>1</v>
      </c>
      <c r="F20" s="13" t="s">
        <v>44</v>
      </c>
      <c r="G20" s="16">
        <v>50000</v>
      </c>
      <c r="H20" s="17">
        <f t="shared" si="0"/>
        <v>50000</v>
      </c>
      <c r="I20" s="13" t="s">
        <v>36</v>
      </c>
      <c r="J20" s="14" t="s">
        <v>64</v>
      </c>
      <c r="K20" s="15" t="s">
        <v>46</v>
      </c>
    </row>
    <row r="21" spans="1:11" ht="15" x14ac:dyDescent="0.3">
      <c r="A21" s="13">
        <v>17</v>
      </c>
      <c r="B21" s="14" t="s">
        <v>14</v>
      </c>
      <c r="C21" s="13" t="s">
        <v>65</v>
      </c>
      <c r="D21" s="15" t="s">
        <v>66</v>
      </c>
      <c r="E21" s="13">
        <v>1</v>
      </c>
      <c r="F21" s="13" t="s">
        <v>67</v>
      </c>
      <c r="G21" s="16">
        <v>3000000</v>
      </c>
      <c r="H21" s="17">
        <f t="shared" si="0"/>
        <v>3000000</v>
      </c>
      <c r="I21" s="13" t="s">
        <v>36</v>
      </c>
      <c r="J21" s="14" t="s">
        <v>68</v>
      </c>
      <c r="K21" s="15" t="s">
        <v>69</v>
      </c>
    </row>
    <row r="22" spans="1:11" ht="15" x14ac:dyDescent="0.3">
      <c r="A22" s="13">
        <v>18</v>
      </c>
      <c r="B22" s="14" t="s">
        <v>14</v>
      </c>
      <c r="C22" s="13" t="s">
        <v>65</v>
      </c>
      <c r="D22" s="15" t="s">
        <v>70</v>
      </c>
      <c r="E22" s="13">
        <v>1</v>
      </c>
      <c r="F22" s="13" t="s">
        <v>67</v>
      </c>
      <c r="G22" s="16">
        <v>900000</v>
      </c>
      <c r="H22" s="17">
        <f t="shared" si="0"/>
        <v>900000</v>
      </c>
      <c r="I22" s="13" t="s">
        <v>36</v>
      </c>
      <c r="J22" s="14" t="s">
        <v>71</v>
      </c>
      <c r="K22" s="15" t="s">
        <v>72</v>
      </c>
    </row>
    <row r="23" spans="1:11" ht="15" x14ac:dyDescent="0.3">
      <c r="A23" s="13">
        <v>19</v>
      </c>
      <c r="B23" s="14" t="s">
        <v>13</v>
      </c>
      <c r="C23" s="13" t="s">
        <v>65</v>
      </c>
      <c r="D23" s="15" t="s">
        <v>73</v>
      </c>
      <c r="E23" s="13">
        <v>1</v>
      </c>
      <c r="F23" s="13" t="s">
        <v>74</v>
      </c>
      <c r="G23" s="16">
        <v>100000</v>
      </c>
      <c r="H23" s="17">
        <f t="shared" si="0"/>
        <v>100000</v>
      </c>
      <c r="I23" s="13" t="s">
        <v>36</v>
      </c>
      <c r="J23" s="14" t="s">
        <v>75</v>
      </c>
      <c r="K23" s="15"/>
    </row>
    <row r="24" spans="1:11" ht="15" x14ac:dyDescent="0.3">
      <c r="A24" s="13">
        <v>20</v>
      </c>
      <c r="B24" s="14" t="s">
        <v>13</v>
      </c>
      <c r="C24" s="13" t="s">
        <v>65</v>
      </c>
      <c r="D24" s="15" t="s">
        <v>76</v>
      </c>
      <c r="E24" s="13">
        <v>1</v>
      </c>
      <c r="F24" s="13" t="s">
        <v>74</v>
      </c>
      <c r="G24" s="16">
        <v>120000</v>
      </c>
      <c r="H24" s="17">
        <f t="shared" si="0"/>
        <v>120000</v>
      </c>
      <c r="I24" s="13" t="s">
        <v>36</v>
      </c>
      <c r="J24" s="14" t="s">
        <v>75</v>
      </c>
      <c r="K24" s="15"/>
    </row>
    <row r="25" spans="1:11" ht="15" x14ac:dyDescent="0.3">
      <c r="A25" s="13">
        <v>21</v>
      </c>
      <c r="B25" s="14" t="s">
        <v>11</v>
      </c>
      <c r="C25" s="13" t="s">
        <v>65</v>
      </c>
      <c r="D25" s="15" t="s">
        <v>77</v>
      </c>
      <c r="E25" s="13">
        <v>1</v>
      </c>
      <c r="F25" s="13" t="s">
        <v>44</v>
      </c>
      <c r="G25" s="16">
        <v>100000</v>
      </c>
      <c r="H25" s="17">
        <f t="shared" si="0"/>
        <v>100000</v>
      </c>
      <c r="I25" s="13" t="s">
        <v>36</v>
      </c>
      <c r="J25" s="14" t="s">
        <v>78</v>
      </c>
      <c r="K25" s="15"/>
    </row>
    <row r="26" spans="1:11" ht="15" x14ac:dyDescent="0.3">
      <c r="A26" s="13">
        <v>22</v>
      </c>
      <c r="B26" s="14" t="s">
        <v>11</v>
      </c>
      <c r="C26" s="13" t="s">
        <v>65</v>
      </c>
      <c r="D26" s="15" t="s">
        <v>79</v>
      </c>
      <c r="E26" s="13">
        <v>1</v>
      </c>
      <c r="F26" s="13" t="s">
        <v>74</v>
      </c>
      <c r="G26" s="16">
        <v>25000</v>
      </c>
      <c r="H26" s="17">
        <f t="shared" si="0"/>
        <v>25000</v>
      </c>
      <c r="I26" s="13" t="s">
        <v>32</v>
      </c>
      <c r="J26" s="14" t="s">
        <v>64</v>
      </c>
      <c r="K26" s="15"/>
    </row>
    <row r="27" spans="1:11" ht="15" x14ac:dyDescent="0.3">
      <c r="A27" s="13">
        <v>23</v>
      </c>
      <c r="B27" s="14" t="s">
        <v>13</v>
      </c>
      <c r="C27" s="13" t="s">
        <v>65</v>
      </c>
      <c r="D27" s="15" t="s">
        <v>80</v>
      </c>
      <c r="E27" s="13">
        <v>1</v>
      </c>
      <c r="F27" s="13" t="s">
        <v>44</v>
      </c>
      <c r="G27" s="16">
        <v>160000</v>
      </c>
      <c r="H27" s="17">
        <f t="shared" si="0"/>
        <v>160000</v>
      </c>
      <c r="I27" s="13" t="s">
        <v>36</v>
      </c>
      <c r="J27" s="14" t="s">
        <v>64</v>
      </c>
      <c r="K27" s="15"/>
    </row>
    <row r="28" spans="1:11" ht="15" x14ac:dyDescent="0.3">
      <c r="A28" s="13">
        <v>24</v>
      </c>
      <c r="B28" s="14" t="s">
        <v>13</v>
      </c>
      <c r="C28" s="13" t="s">
        <v>65</v>
      </c>
      <c r="D28" s="15" t="s">
        <v>81</v>
      </c>
      <c r="E28" s="13">
        <v>1</v>
      </c>
      <c r="F28" s="13" t="s">
        <v>44</v>
      </c>
      <c r="G28" s="16">
        <v>80000</v>
      </c>
      <c r="H28" s="17">
        <f t="shared" si="0"/>
        <v>80000</v>
      </c>
      <c r="I28" s="13" t="s">
        <v>32</v>
      </c>
      <c r="J28" s="14" t="s">
        <v>82</v>
      </c>
      <c r="K28" s="15"/>
    </row>
    <row r="29" spans="1:11" ht="15" x14ac:dyDescent="0.3">
      <c r="A29" s="13">
        <v>25</v>
      </c>
      <c r="B29" s="14" t="s">
        <v>13</v>
      </c>
      <c r="C29" s="13" t="s">
        <v>65</v>
      </c>
      <c r="D29" s="15" t="s">
        <v>83</v>
      </c>
      <c r="E29" s="13">
        <v>1</v>
      </c>
      <c r="F29" s="13" t="s">
        <v>44</v>
      </c>
      <c r="G29" s="16">
        <v>70000</v>
      </c>
      <c r="H29" s="17">
        <f t="shared" si="0"/>
        <v>70000</v>
      </c>
      <c r="I29" s="13" t="s">
        <v>36</v>
      </c>
      <c r="J29" s="14" t="s">
        <v>84</v>
      </c>
      <c r="K29" s="15"/>
    </row>
    <row r="30" spans="1:11" ht="15" x14ac:dyDescent="0.3">
      <c r="A30" s="13">
        <v>26</v>
      </c>
      <c r="B30" s="14" t="s">
        <v>10</v>
      </c>
      <c r="C30" s="13" t="s">
        <v>65</v>
      </c>
      <c r="D30" s="15" t="s">
        <v>96</v>
      </c>
      <c r="E30" s="13">
        <v>5</v>
      </c>
      <c r="F30" s="13" t="s">
        <v>31</v>
      </c>
      <c r="G30" s="16">
        <v>35000</v>
      </c>
      <c r="H30" s="17">
        <f t="shared" si="0"/>
        <v>175000</v>
      </c>
      <c r="I30" s="13" t="s">
        <v>36</v>
      </c>
      <c r="J30" s="14" t="s">
        <v>75</v>
      </c>
      <c r="K30" s="15"/>
    </row>
    <row r="31" spans="1:11" ht="15" x14ac:dyDescent="0.3">
      <c r="A31" s="13">
        <v>27</v>
      </c>
      <c r="B31" s="14" t="s">
        <v>13</v>
      </c>
      <c r="C31" s="13" t="s">
        <v>65</v>
      </c>
      <c r="D31" s="15" t="s">
        <v>97</v>
      </c>
      <c r="E31" s="13">
        <v>2</v>
      </c>
      <c r="F31" s="13" t="s">
        <v>31</v>
      </c>
      <c r="G31" s="16">
        <v>40000</v>
      </c>
      <c r="H31" s="17">
        <f t="shared" ref="H31" si="1">E31*G31</f>
        <v>80000</v>
      </c>
      <c r="I31" s="13" t="s">
        <v>36</v>
      </c>
      <c r="J31" s="14" t="s">
        <v>75</v>
      </c>
      <c r="K31" s="15"/>
    </row>
    <row r="32" spans="1:11" ht="17.399999999999999" thickBot="1" x14ac:dyDescent="0.35">
      <c r="A32" s="21" t="s">
        <v>85</v>
      </c>
      <c r="B32" s="22"/>
      <c r="C32" s="22"/>
      <c r="D32" s="22"/>
      <c r="E32" s="22"/>
      <c r="F32" s="22"/>
      <c r="G32" s="22"/>
      <c r="H32" s="19">
        <f>SUM(H5:H31)</f>
        <v>7990000</v>
      </c>
      <c r="I32" s="18"/>
      <c r="J32" s="18"/>
      <c r="K32" s="18"/>
    </row>
  </sheetData>
  <mergeCells count="1">
    <mergeCell ref="A32:G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/>
  </sheetViews>
  <sheetFormatPr baseColWidth="10" defaultColWidth="8.88671875" defaultRowHeight="14.4" x14ac:dyDescent="0.3"/>
  <cols>
    <col min="1" max="1" width="37" customWidth="1"/>
    <col min="2" max="2" width="13" customWidth="1"/>
    <col min="3" max="3" width="12" customWidth="1"/>
    <col min="4" max="5" width="19" customWidth="1"/>
    <col min="6" max="6" width="14" customWidth="1"/>
    <col min="7" max="7" width="12" customWidth="1"/>
    <col min="8" max="8" width="20" customWidth="1"/>
    <col min="9" max="9" width="16" customWidth="1"/>
    <col min="10" max="10" width="14" customWidth="1"/>
    <col min="11" max="11" width="16" customWidth="1"/>
  </cols>
  <sheetData>
    <row r="1" spans="1:11" ht="20.399999999999999" x14ac:dyDescent="0.45">
      <c r="A1" s="1" t="s">
        <v>86</v>
      </c>
    </row>
    <row r="4" spans="1:11" ht="15" x14ac:dyDescent="0.3">
      <c r="A4" s="4" t="s">
        <v>87</v>
      </c>
      <c r="B4" s="4" t="s">
        <v>88</v>
      </c>
      <c r="C4" s="4" t="s">
        <v>89</v>
      </c>
      <c r="D4" s="4" t="s">
        <v>90</v>
      </c>
      <c r="E4" s="4" t="s">
        <v>3</v>
      </c>
      <c r="F4" s="4" t="s">
        <v>91</v>
      </c>
      <c r="G4" s="4" t="s">
        <v>22</v>
      </c>
      <c r="H4" s="4" t="s">
        <v>92</v>
      </c>
      <c r="I4" s="4" t="s">
        <v>93</v>
      </c>
      <c r="J4" s="4" t="s">
        <v>94</v>
      </c>
      <c r="K4" s="4" t="s">
        <v>28</v>
      </c>
    </row>
    <row r="5" spans="1:11" x14ac:dyDescent="0.3">
      <c r="A5" s="14"/>
      <c r="B5" s="14"/>
      <c r="C5" s="14"/>
      <c r="D5" s="14"/>
      <c r="E5" s="14"/>
      <c r="F5" s="14"/>
      <c r="G5" s="14"/>
      <c r="H5" s="20"/>
      <c r="I5" s="14"/>
      <c r="J5" s="14"/>
      <c r="K5" s="14"/>
    </row>
    <row r="6" spans="1:11" x14ac:dyDescent="0.3">
      <c r="A6" s="14"/>
      <c r="B6" s="14"/>
      <c r="C6" s="14"/>
      <c r="D6" s="14"/>
      <c r="E6" s="14"/>
      <c r="F6" s="14"/>
      <c r="G6" s="14"/>
      <c r="H6" s="20"/>
      <c r="I6" s="14"/>
      <c r="J6" s="14"/>
      <c r="K6" s="14"/>
    </row>
    <row r="7" spans="1:11" x14ac:dyDescent="0.3">
      <c r="A7" s="14"/>
      <c r="B7" s="14"/>
      <c r="C7" s="14"/>
      <c r="D7" s="14"/>
      <c r="E7" s="14"/>
      <c r="F7" s="14"/>
      <c r="G7" s="14"/>
      <c r="H7" s="20"/>
      <c r="I7" s="14"/>
      <c r="J7" s="14"/>
      <c r="K7" s="14"/>
    </row>
    <row r="8" spans="1:11" x14ac:dyDescent="0.3">
      <c r="A8" s="14"/>
      <c r="B8" s="14"/>
      <c r="C8" s="14"/>
      <c r="D8" s="14"/>
      <c r="E8" s="14"/>
      <c r="F8" s="14"/>
      <c r="G8" s="14"/>
      <c r="H8" s="20"/>
      <c r="I8" s="14"/>
      <c r="J8" s="14"/>
      <c r="K8" s="14"/>
    </row>
    <row r="9" spans="1:11" x14ac:dyDescent="0.3">
      <c r="A9" s="14"/>
      <c r="B9" s="14"/>
      <c r="C9" s="14"/>
      <c r="D9" s="14"/>
      <c r="E9" s="14"/>
      <c r="F9" s="14"/>
      <c r="G9" s="14"/>
      <c r="H9" s="20"/>
      <c r="I9" s="14"/>
      <c r="J9" s="14"/>
      <c r="K9" s="14"/>
    </row>
    <row r="10" spans="1:11" x14ac:dyDescent="0.3">
      <c r="A10" s="14"/>
      <c r="B10" s="14"/>
      <c r="C10" s="14"/>
      <c r="D10" s="14"/>
      <c r="E10" s="14"/>
      <c r="F10" s="14"/>
      <c r="G10" s="14"/>
      <c r="H10" s="20"/>
      <c r="I10" s="14"/>
      <c r="J10" s="14"/>
      <c r="K10" s="14"/>
    </row>
    <row r="11" spans="1:11" x14ac:dyDescent="0.3">
      <c r="A11" s="14"/>
      <c r="B11" s="14"/>
      <c r="C11" s="14"/>
      <c r="D11" s="14"/>
      <c r="E11" s="14"/>
      <c r="F11" s="14"/>
      <c r="G11" s="14"/>
      <c r="H11" s="20"/>
      <c r="I11" s="14"/>
      <c r="J11" s="14"/>
      <c r="K11" s="14"/>
    </row>
    <row r="12" spans="1:11" x14ac:dyDescent="0.3">
      <c r="A12" s="14"/>
      <c r="B12" s="14"/>
      <c r="C12" s="14"/>
      <c r="D12" s="14"/>
      <c r="E12" s="14"/>
      <c r="F12" s="14"/>
      <c r="G12" s="14"/>
      <c r="H12" s="20"/>
      <c r="I12" s="14"/>
      <c r="J12" s="14"/>
      <c r="K12" s="14"/>
    </row>
    <row r="13" spans="1:11" x14ac:dyDescent="0.3">
      <c r="A13" s="14"/>
      <c r="B13" s="14"/>
      <c r="C13" s="14"/>
      <c r="D13" s="14"/>
      <c r="E13" s="14"/>
      <c r="F13" s="14"/>
      <c r="G13" s="14"/>
      <c r="H13" s="20"/>
      <c r="I13" s="14"/>
      <c r="J13" s="14"/>
      <c r="K13" s="14"/>
    </row>
    <row r="14" spans="1:11" x14ac:dyDescent="0.3">
      <c r="A14" s="14"/>
      <c r="B14" s="14"/>
      <c r="C14" s="14"/>
      <c r="D14" s="14"/>
      <c r="E14" s="14"/>
      <c r="F14" s="14"/>
      <c r="G14" s="14"/>
      <c r="H14" s="20"/>
      <c r="I14" s="14"/>
      <c r="J14" s="14"/>
      <c r="K14" s="14"/>
    </row>
    <row r="15" spans="1:11" x14ac:dyDescent="0.3">
      <c r="A15" s="14"/>
      <c r="B15" s="14"/>
      <c r="C15" s="14"/>
      <c r="D15" s="14"/>
      <c r="E15" s="14"/>
      <c r="F15" s="14"/>
      <c r="G15" s="14"/>
      <c r="H15" s="20"/>
      <c r="I15" s="14"/>
      <c r="J15" s="14"/>
      <c r="K15" s="14"/>
    </row>
    <row r="16" spans="1:11" x14ac:dyDescent="0.3">
      <c r="A16" s="14"/>
      <c r="B16" s="14"/>
      <c r="C16" s="14"/>
      <c r="D16" s="14"/>
      <c r="E16" s="14"/>
      <c r="F16" s="14"/>
      <c r="G16" s="14"/>
      <c r="H16" s="20"/>
      <c r="I16" s="14"/>
      <c r="J16" s="14"/>
      <c r="K16" s="14"/>
    </row>
    <row r="17" spans="1:11" x14ac:dyDescent="0.3">
      <c r="A17" s="14"/>
      <c r="B17" s="14"/>
      <c r="C17" s="14"/>
      <c r="D17" s="14"/>
      <c r="E17" s="14"/>
      <c r="F17" s="14"/>
      <c r="G17" s="14"/>
      <c r="H17" s="20"/>
      <c r="I17" s="14"/>
      <c r="J17" s="14"/>
      <c r="K17" s="14"/>
    </row>
    <row r="18" spans="1:11" x14ac:dyDescent="0.3">
      <c r="A18" s="14"/>
      <c r="B18" s="14"/>
      <c r="C18" s="14"/>
      <c r="D18" s="14"/>
      <c r="E18" s="14"/>
      <c r="F18" s="14"/>
      <c r="G18" s="14"/>
      <c r="H18" s="20"/>
      <c r="I18" s="14"/>
      <c r="J18" s="14"/>
      <c r="K18" s="14"/>
    </row>
    <row r="19" spans="1:11" x14ac:dyDescent="0.3">
      <c r="A19" s="14"/>
      <c r="B19" s="14"/>
      <c r="C19" s="14"/>
      <c r="D19" s="14"/>
      <c r="E19" s="14"/>
      <c r="F19" s="14"/>
      <c r="G19" s="14"/>
      <c r="H19" s="20"/>
      <c r="I19" s="14"/>
      <c r="J19" s="14"/>
      <c r="K19" s="14"/>
    </row>
    <row r="20" spans="1:11" x14ac:dyDescent="0.3">
      <c r="A20" s="14"/>
      <c r="B20" s="14"/>
      <c r="C20" s="14"/>
      <c r="D20" s="14"/>
      <c r="E20" s="14"/>
      <c r="F20" s="14"/>
      <c r="G20" s="14"/>
      <c r="H20" s="20"/>
      <c r="I20" s="14"/>
      <c r="J20" s="14"/>
      <c r="K20" s="14"/>
    </row>
    <row r="21" spans="1:11" x14ac:dyDescent="0.3">
      <c r="A21" s="14"/>
      <c r="B21" s="14"/>
      <c r="C21" s="14"/>
      <c r="D21" s="14"/>
      <c r="E21" s="14"/>
      <c r="F21" s="14"/>
      <c r="G21" s="14"/>
      <c r="H21" s="20"/>
      <c r="I21" s="14"/>
      <c r="J21" s="14"/>
      <c r="K21" s="14"/>
    </row>
    <row r="22" spans="1:11" x14ac:dyDescent="0.3">
      <c r="A22" s="14"/>
      <c r="B22" s="14"/>
      <c r="C22" s="14"/>
      <c r="D22" s="14"/>
      <c r="E22" s="14"/>
      <c r="F22" s="14"/>
      <c r="G22" s="14"/>
      <c r="H22" s="20"/>
      <c r="I22" s="14"/>
      <c r="J22" s="14"/>
      <c r="K22" s="14"/>
    </row>
    <row r="23" spans="1:11" x14ac:dyDescent="0.3">
      <c r="A23" s="14"/>
      <c r="B23" s="14"/>
      <c r="C23" s="14"/>
      <c r="D23" s="14"/>
      <c r="E23" s="14"/>
      <c r="F23" s="14"/>
      <c r="G23" s="14"/>
      <c r="H23" s="20"/>
      <c r="I23" s="14"/>
      <c r="J23" s="14"/>
      <c r="K23" s="14"/>
    </row>
    <row r="24" spans="1:11" x14ac:dyDescent="0.3">
      <c r="A24" s="14"/>
      <c r="B24" s="14"/>
      <c r="C24" s="14"/>
      <c r="D24" s="14"/>
      <c r="E24" s="14"/>
      <c r="F24" s="14"/>
      <c r="G24" s="14"/>
      <c r="H24" s="20"/>
      <c r="I24" s="14"/>
      <c r="J24" s="14"/>
      <c r="K24" s="14"/>
    </row>
    <row r="25" spans="1:11" x14ac:dyDescent="0.3">
      <c r="A25" s="14"/>
      <c r="B25" s="14"/>
      <c r="C25" s="14"/>
      <c r="D25" s="14"/>
      <c r="E25" s="14"/>
      <c r="F25" s="14"/>
      <c r="G25" s="14"/>
      <c r="H25" s="20"/>
      <c r="I25" s="14"/>
      <c r="J25" s="14"/>
      <c r="K25" s="14"/>
    </row>
    <row r="26" spans="1:11" x14ac:dyDescent="0.3">
      <c r="A26" s="14"/>
      <c r="B26" s="14"/>
      <c r="C26" s="14"/>
      <c r="D26" s="14"/>
      <c r="E26" s="14"/>
      <c r="F26" s="14"/>
      <c r="G26" s="14"/>
      <c r="H26" s="20"/>
      <c r="I26" s="14"/>
      <c r="J26" s="14"/>
      <c r="K26" s="14"/>
    </row>
    <row r="27" spans="1:11" x14ac:dyDescent="0.3">
      <c r="A27" s="14"/>
      <c r="B27" s="14"/>
      <c r="C27" s="14"/>
      <c r="D27" s="14"/>
      <c r="E27" s="14"/>
      <c r="F27" s="14"/>
      <c r="G27" s="14"/>
      <c r="H27" s="20"/>
      <c r="I27" s="14"/>
      <c r="J27" s="14"/>
      <c r="K27" s="14"/>
    </row>
    <row r="28" spans="1:11" x14ac:dyDescent="0.3">
      <c r="A28" s="14"/>
      <c r="B28" s="14"/>
      <c r="C28" s="14"/>
      <c r="D28" s="14"/>
      <c r="E28" s="14"/>
      <c r="F28" s="14"/>
      <c r="G28" s="14"/>
      <c r="H28" s="20"/>
      <c r="I28" s="14"/>
      <c r="J28" s="14"/>
      <c r="K28" s="14"/>
    </row>
    <row r="29" spans="1:11" x14ac:dyDescent="0.3">
      <c r="A29" s="14"/>
      <c r="B29" s="14"/>
      <c r="C29" s="14"/>
      <c r="D29" s="14"/>
      <c r="E29" s="14"/>
      <c r="F29" s="14"/>
      <c r="G29" s="14"/>
      <c r="H29" s="20"/>
      <c r="I29" s="14"/>
      <c r="J29" s="14"/>
      <c r="K29" s="14"/>
    </row>
    <row r="30" spans="1:11" ht="16.8" x14ac:dyDescent="0.3">
      <c r="A30" s="21" t="s">
        <v>95</v>
      </c>
      <c r="B30" s="22"/>
      <c r="C30" s="22"/>
      <c r="D30" s="22"/>
      <c r="E30" s="22"/>
      <c r="F30" s="22"/>
      <c r="G30" s="22"/>
      <c r="H30" s="19">
        <f>SUM(H5:H29)</f>
        <v>0</v>
      </c>
      <c r="I30" s="18"/>
      <c r="J30" s="18"/>
      <c r="K30" s="18"/>
    </row>
  </sheetData>
  <mergeCells count="1"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Y BALANCE</vt:lpstr>
      <vt:lpstr>PRESUPUESTO</vt:lpstr>
      <vt:lpstr>RELACION_GASTOS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SERVIDOR</cp:lastModifiedBy>
  <dcterms:created xsi:type="dcterms:W3CDTF">2026-09-17T16:47:05Z</dcterms:created>
  <dcterms:modified xsi:type="dcterms:W3CDTF">2026-09-20T01:52:00Z</dcterms:modified>
</cp:coreProperties>
</file>