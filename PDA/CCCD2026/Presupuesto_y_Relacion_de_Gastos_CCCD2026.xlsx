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Y BALANCE" sheetId="1" state="visible" r:id="rId1"/>
    <sheet xmlns:r="http://schemas.openxmlformats.org/officeDocument/2006/relationships" name="PRESUPUESTO" sheetId="2" state="visible" r:id="rId2"/>
    <sheet xmlns:r="http://schemas.openxmlformats.org/officeDocument/2006/relationships" name="RELACION_GA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"/>
    <numFmt numFmtId="165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3A8A"/>
      <sz val="14"/>
    </font>
    <font>
      <name val="Segoe UI"/>
      <i val="1"/>
      <color rgb="004B5563"/>
      <sz val="10"/>
    </font>
    <font>
      <name val="Segoe UI"/>
      <b val="1"/>
      <color rgb="000D9488"/>
      <sz val="10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E3A8A"/>
      <sz val="10"/>
    </font>
    <font>
      <name val="Segoe UI"/>
      <b val="1"/>
      <color rgb="001E3A8A"/>
      <sz val="11"/>
    </font>
    <font>
      <name val="Segoe UI"/>
      <b val="1"/>
      <color rgb="00111827"/>
      <sz val="10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0E7FF"/>
        <bgColor rgb="00E0E7FF"/>
      </patternFill>
    </fill>
    <fill>
      <patternFill patternType="solid">
        <fgColor rgb="000D9488"/>
        <bgColor rgb="000D9488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1E3A8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3" borderId="2" pivotButton="0" quotePrefix="0" xfId="0"/>
    <xf numFmtId="164" fontId="6" fillId="3" borderId="2" applyAlignment="1" pivotButton="0" quotePrefix="0" xfId="0">
      <alignment horizontal="right" vertical="center"/>
    </xf>
    <xf numFmtId="165" fontId="6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3" borderId="2" pivotButton="0" quotePrefix="0" xfId="0"/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28" customWidth="1" min="3" max="3"/>
    <col width="24" customWidth="1" min="4" max="4"/>
    <col width="16" customWidth="1" min="5" max="5"/>
    <col width="26" customWidth="1" min="6" max="6"/>
  </cols>
  <sheetData>
    <row r="1">
      <c r="A1" s="1" t="inlineStr">
        <is>
          <t>CONCURSO COLOMBIANO DE COHETERÍA DEPORTIVA 2026 (CCCD 2026)</t>
        </is>
      </c>
    </row>
    <row r="2">
      <c r="A2" s="2" t="inlineStr">
        <is>
          <t>Semillero PDA Rocketeers — Institución Educativa José Antonio Galán (La Estrella, Antioquia)</t>
        </is>
      </c>
    </row>
    <row r="3">
      <c r="A3" s="3" t="inlineStr">
        <is>
          <t>TABLERO DE CONTROL FINANCIERO: PRESUPUESTO PROYECTADO VS. GASTOS REALES EJECUTADOS</t>
        </is>
      </c>
    </row>
    <row r="4"/>
    <row r="5">
      <c r="A5" s="4" t="inlineStr">
        <is>
          <t>CATEGORÍA</t>
        </is>
      </c>
      <c r="B5" s="4" t="inlineStr">
        <is>
          <t>PRESUPUESTO ESTIMADO (COP)</t>
        </is>
      </c>
      <c r="C5" s="4" t="inlineStr">
        <is>
          <t>GASTO REAL EJECUTADO (COP)</t>
        </is>
      </c>
      <c r="D5" s="4" t="inlineStr">
        <is>
          <t>SALDO DISPONIBLE (COP)</t>
        </is>
      </c>
      <c r="E5" s="4" t="inlineStr">
        <is>
          <t>% EJECUCIÓN</t>
        </is>
      </c>
      <c r="F5" s="4" t="inlineStr">
        <is>
          <t>ESTADO</t>
        </is>
      </c>
    </row>
    <row r="6">
      <c r="A6" s="5" t="inlineStr">
        <is>
          <t>Propulsión y Motores Certificados</t>
        </is>
      </c>
      <c r="B6" s="6">
        <f>SUMIF(PRESUPUESTO!B:B, A6, PRESUPUESTO!G:G)</f>
        <v/>
      </c>
      <c r="C6" s="6">
        <f>SUMIF(RELACION_GASTOS!D:D, A6, RELACION_GASTOS!G:G)</f>
        <v/>
      </c>
      <c r="D6" s="6">
        <f>B6-C6</f>
        <v/>
      </c>
      <c r="E6" s="7">
        <f>IF(B6&gt;0, C6/B6, 0)</f>
        <v/>
      </c>
      <c r="F6" s="8">
        <f>IF(C6&gt;B6, "SOBREGIRO", IF(C6=B6, "EJECUTADO 100%", IF(C6&gt;0, "EN EJECUCIÓN", "SIN INICIAR")))</f>
        <v/>
      </c>
    </row>
    <row r="7">
      <c r="A7" s="5" t="inlineStr">
        <is>
          <t>Estructura Aerodinámica y Fuselaje</t>
        </is>
      </c>
      <c r="B7" s="6">
        <f>SUMIF(PRESUPUESTO!B:B, A7, PRESUPUESTO!G:G)</f>
        <v/>
      </c>
      <c r="C7" s="6">
        <f>SUMIF(RELACION_GASTOS!D:D, A7, RELACION_GASTOS!G:G)</f>
        <v/>
      </c>
      <c r="D7" s="6">
        <f>B7-C7</f>
        <v/>
      </c>
      <c r="E7" s="7">
        <f>IF(B7&gt;0, C7/B7, 0)</f>
        <v/>
      </c>
      <c r="F7" s="8">
        <f>IF(C7&gt;B7, "SOBREGIRO", IF(C7=B7, "EJECUTADO 100%", IF(C7&gt;0, "EN EJECUCIÓN", "SIN INICIAR")))</f>
        <v/>
      </c>
    </row>
    <row r="8">
      <c r="A8" s="5" t="inlineStr">
        <is>
          <t>Sistema de Recuperación y Seguridad</t>
        </is>
      </c>
      <c r="B8" s="6">
        <f>SUMIF(PRESUPUESTO!B:B, A8, PRESUPUESTO!G:G)</f>
        <v/>
      </c>
      <c r="C8" s="6">
        <f>SUMIF(RELACION_GASTOS!D:D, A8, RELACION_GASTOS!G:G)</f>
        <v/>
      </c>
      <c r="D8" s="6">
        <f>B8-C8</f>
        <v/>
      </c>
      <c r="E8" s="7">
        <f>IF(B8&gt;0, C8/B8, 0)</f>
        <v/>
      </c>
      <c r="F8" s="8">
        <f>IF(C8&gt;B8, "SOBREGIRO", IF(C8=B8, "EJECUTADO 100%", IF(C8&gt;0, "EN EJECUCIÓN", "SIN INICIAR")))</f>
        <v/>
      </c>
    </row>
    <row r="9">
      <c r="A9" s="5" t="inlineStr">
        <is>
          <t>Aviónica, Telemetría y Carga Útil</t>
        </is>
      </c>
      <c r="B9" s="6">
        <f>SUMIF(PRESUPUESTO!B:B, A9, PRESUPUESTO!G:G)</f>
        <v/>
      </c>
      <c r="C9" s="6">
        <f>SUMIF(RELACION_GASTOS!D:D, A9, RELACION_GASTOS!G:G)</f>
        <v/>
      </c>
      <c r="D9" s="6">
        <f>B9-C9</f>
        <v/>
      </c>
      <c r="E9" s="7">
        <f>IF(B9&gt;0, C9/B9, 0)</f>
        <v/>
      </c>
      <c r="F9" s="8">
        <f>IF(C9&gt;B9, "SOBREGIRO", IF(C9=B9, "EJECUTADO 100%", IF(C9&gt;0, "EN EJECUCIÓN", "SIN INICIAR")))</f>
        <v/>
      </c>
    </row>
    <row r="10">
      <c r="A10" s="5" t="inlineStr">
        <is>
          <t>Herramientas de Taller y Consumibles</t>
        </is>
      </c>
      <c r="B10" s="6">
        <f>SUMIF(PRESUPUESTO!B:B, A10, PRESUPUESTO!G:G)</f>
        <v/>
      </c>
      <c r="C10" s="6">
        <f>SUMIF(RELACION_GASTOS!D:D, A10, RELACION_GASTOS!G:G)</f>
        <v/>
      </c>
      <c r="D10" s="6">
        <f>B10-C10</f>
        <v/>
      </c>
      <c r="E10" s="7">
        <f>IF(B10&gt;0, C10/B10, 0)</f>
        <v/>
      </c>
      <c r="F10" s="8">
        <f>IF(C10&gt;B10, "SOBREGIRO", IF(C10=B10, "EJECUTADO 100%", IF(C10&gt;0, "EN EJECUCIÓN", "SIN INICIAR")))</f>
        <v/>
      </c>
    </row>
    <row r="11">
      <c r="A11" s="5" t="inlineStr">
        <is>
          <t>Logística de Lanzamiento, Transporte y Campo</t>
        </is>
      </c>
      <c r="B11" s="6">
        <f>SUMIF(PRESUPUESTO!B:B, A11, PRESUPUESTO!G:G)</f>
        <v/>
      </c>
      <c r="C11" s="6">
        <f>SUMIF(RELACION_GASTOS!D:D, A11, RELACION_GASTOS!G:G)</f>
        <v/>
      </c>
      <c r="D11" s="6">
        <f>B11-C11</f>
        <v/>
      </c>
      <c r="E11" s="7">
        <f>IF(B11&gt;0, C11/B11, 0)</f>
        <v/>
      </c>
      <c r="F11" s="8">
        <f>IF(C11&gt;B11, "SOBREGIRO", IF(C11=B11, "EJECUTADO 100%", IF(C11&gt;0, "EN EJECUCIÓN", "SIN INICIAR")))</f>
        <v/>
      </c>
    </row>
    <row r="12">
      <c r="A12" s="5" t="inlineStr">
        <is>
          <t>Inscripciones, Pólizas y Administrativo</t>
        </is>
      </c>
      <c r="B12" s="6">
        <f>SUMIF(PRESUPUESTO!B:B, A12, PRESUPUESTO!G:G)</f>
        <v/>
      </c>
      <c r="C12" s="6">
        <f>SUMIF(RELACION_GASTOS!D:D, A12, RELACION_GASTOS!G:G)</f>
        <v/>
      </c>
      <c r="D12" s="6">
        <f>B12-C12</f>
        <v/>
      </c>
      <c r="E12" s="7">
        <f>IF(B12&gt;0, C12/B12, 0)</f>
        <v/>
      </c>
      <c r="F12" s="8">
        <f>IF(C12&gt;B12, "SOBREGIRO", IF(C12=B12, "EJECUTADO 100%", IF(C12&gt;0, "EN EJECUCIÓN", "SIN INICIAR")))</f>
        <v/>
      </c>
    </row>
    <row r="13">
      <c r="A13" s="9" t="inlineStr">
        <is>
          <t>TOTAL CONSOLIDADO</t>
        </is>
      </c>
      <c r="B13" s="10">
        <f>SUM(B6:B12)</f>
        <v/>
      </c>
      <c r="C13" s="10">
        <f>SUM(C6:C12)</f>
        <v/>
      </c>
      <c r="D13" s="10">
        <f>SUM(D6:D12)</f>
        <v/>
      </c>
      <c r="E13" s="11">
        <f>IF(B13&gt;0, C13/B13, 0)</f>
        <v/>
      </c>
      <c r="F13" s="12">
        <f>IF(C13&gt;B13, "ALERTA SOBREGIRO", "PRESUPUESTO DISPONIBLE")</f>
        <v/>
      </c>
    </row>
    <row r="14"/>
    <row r="15"/>
    <row r="16">
      <c r="A16" s="13" t="inlineStr">
        <is>
          <t>FUENTES DE RECURSOS Y FINANCIACIÓN DEL PROYECTO</t>
        </is>
      </c>
    </row>
    <row r="17">
      <c r="A17" s="14" t="inlineStr">
        <is>
          <t>FUENTE / ALIADO DE FINANCIACIÓN</t>
        </is>
      </c>
      <c r="B17" s="14" t="inlineStr">
        <is>
          <t>TIPO DE RECURSO</t>
        </is>
      </c>
      <c r="C17" s="14" t="inlineStr">
        <is>
          <t>MONTO APORTADO / GESTIONADO (COP)</t>
        </is>
      </c>
      <c r="D17" s="14" t="inlineStr">
        <is>
          <t>ESTADO DE GESTIÓN</t>
        </is>
      </c>
    </row>
    <row r="18">
      <c r="A18" s="15" t="inlineStr">
        <is>
          <t>Convocatoria Ambiental Generación Estrella / YCAF</t>
        </is>
      </c>
      <c r="B18" s="15" t="inlineStr">
        <is>
          <t>Subsidio proyecto ambiental articulado (AeroBio)</t>
        </is>
      </c>
      <c r="C18" s="6" t="n">
        <v>3000000</v>
      </c>
      <c r="D18" s="8" t="inlineStr">
        <is>
          <t>Aprobado / Asignado</t>
        </is>
      </c>
    </row>
    <row r="19">
      <c r="A19" s="15" t="inlineStr">
        <is>
          <t>Fondo de Servicios Educativos - I.E. José Antonio Galán</t>
        </is>
      </c>
      <c r="B19" s="15" t="inlineStr">
        <is>
          <t>Apoyo institucional transporte y seguros</t>
        </is>
      </c>
      <c r="C19" s="6" t="n">
        <v>1200000</v>
      </c>
      <c r="D19" s="8" t="inlineStr">
        <is>
          <t>En trámite de aprobación</t>
        </is>
      </c>
    </row>
    <row r="20">
      <c r="A20" s="15" t="inlineStr">
        <is>
          <t>Actividades Pro-Fondos PDA Rocketeers</t>
        </is>
      </c>
      <c r="B20" s="15" t="inlineStr">
        <is>
          <t>Aporte interno y eventos escolares de ciencia</t>
        </is>
      </c>
      <c r="C20" s="6" t="n">
        <v>800000</v>
      </c>
      <c r="D20" s="8" t="inlineStr">
        <is>
          <t>En recaudo</t>
        </is>
      </c>
    </row>
    <row r="21">
      <c r="A21" s="15" t="inlineStr">
        <is>
          <t>Patrocinio Comercial / Empresas Aliadas de La Estrella</t>
        </is>
      </c>
      <c r="B21" s="15" t="inlineStr">
        <is>
          <t>Donaciones privadas / insumos técnicos</t>
        </is>
      </c>
      <c r="C21" s="6" t="n">
        <v>1500000</v>
      </c>
      <c r="D21" s="8" t="inlineStr">
        <is>
          <t>Gestión de cartas enviadas</t>
        </is>
      </c>
    </row>
    <row r="22">
      <c r="A22" s="9" t="inlineStr">
        <is>
          <t>TOTAL RECURSOS GESTIONADOS</t>
        </is>
      </c>
      <c r="B22" s="16" t="inlineStr"/>
      <c r="C22" s="10">
        <f>SUM(C18:C21)</f>
        <v/>
      </c>
      <c r="D22" s="12">
        <f>IF(C22&gt;=B13, "FINANCIACIÓN COMPLETA", "DÉFICIT DE FINANCIACIÓN")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50" customWidth="1" min="3" max="3"/>
    <col width="12" customWidth="1" min="4" max="4"/>
    <col width="14" customWidth="1" min="5" max="5"/>
    <col width="24" customWidth="1" min="6" max="6"/>
    <col width="26" customWidth="1" min="7" max="7"/>
    <col width="14" customWidth="1" min="8" max="8"/>
    <col width="34" customWidth="1" min="9" max="9"/>
    <col width="44" customWidth="1" min="10" max="10"/>
  </cols>
  <sheetData>
    <row r="1">
      <c r="A1" s="1" t="inlineStr">
        <is>
          <t>PRESUPUESTO DETALLADO POR CATEGORÍA — CCCD 2026</t>
        </is>
      </c>
    </row>
    <row r="2">
      <c r="A2" s="2" t="inlineStr">
        <is>
          <t>PDA Rocketeers — Plan de Inversión y Adquisiciones para el Concurso</t>
        </is>
      </c>
    </row>
    <row r="3"/>
    <row r="4">
      <c r="A4" s="4" t="inlineStr">
        <is>
          <t>ÍTEM</t>
        </is>
      </c>
      <c r="B4" s="4" t="inlineStr">
        <is>
          <t>CATEGORÍA</t>
        </is>
      </c>
      <c r="C4" s="4" t="inlineStr">
        <is>
          <t>DESCRIPCIÓN DEL ARTÍCULO / ESPECIFICACIÓN TÉCNICA</t>
        </is>
      </c>
      <c r="D4" s="4" t="inlineStr">
        <is>
          <t>CANTIDAD</t>
        </is>
      </c>
      <c r="E4" s="4" t="inlineStr">
        <is>
          <t>UNIDAD</t>
        </is>
      </c>
      <c r="F4" s="4" t="inlineStr">
        <is>
          <t>VALOR UNITARIO (COP)</t>
        </is>
      </c>
      <c r="G4" s="4" t="inlineStr">
        <is>
          <t>TOTAL PROYECTADO (COP)</t>
        </is>
      </c>
      <c r="H4" s="4" t="inlineStr">
        <is>
          <t>PRIORIDAD</t>
        </is>
      </c>
      <c r="I4" s="4" t="inlineStr">
        <is>
          <t>PROVEEDOR SUGERIDO / REFERENCIA</t>
        </is>
      </c>
      <c r="J4" s="4" t="inlineStr">
        <is>
          <t>OBSERVACIONES TÉCNICAS</t>
        </is>
      </c>
    </row>
    <row r="5">
      <c r="A5" s="8" t="n">
        <v>1</v>
      </c>
      <c r="B5" s="15" t="inlineStr">
        <is>
          <t>Propulsión y Motores Certificados</t>
        </is>
      </c>
      <c r="C5" s="17" t="inlineStr">
        <is>
          <t>Motores de combustible sólido certificados TRA/CCCD (Categoría Intermedios / Clase F/G)</t>
        </is>
      </c>
      <c r="D5" s="18" t="n">
        <v>4</v>
      </c>
      <c r="E5" s="8" t="inlineStr">
        <is>
          <t>Unidad</t>
        </is>
      </c>
      <c r="F5" s="6" t="n">
        <v>350000</v>
      </c>
      <c r="G5" s="19">
        <f>D5*F5</f>
        <v/>
      </c>
      <c r="H5" s="8" t="inlineStr">
        <is>
          <t>Alta</t>
        </is>
      </c>
      <c r="I5" s="5" t="inlineStr">
        <is>
          <t>Distribuidor Oficial ALAS / TRA Colombia</t>
        </is>
      </c>
      <c r="J5" s="17" t="inlineStr">
        <is>
          <t>Para pruebas estáticas previas y lanzamientos oficiales</t>
        </is>
      </c>
    </row>
    <row r="6">
      <c r="A6" s="8" t="n">
        <v>2</v>
      </c>
      <c r="B6" s="15" t="inlineStr">
        <is>
          <t>Propulsión y Motores Certificados</t>
        </is>
      </c>
      <c r="C6" s="17" t="inlineStr">
        <is>
          <t>Iniciadores eléctricos de ignición rápida (E-matches certificados con carcasa protectora)</t>
        </is>
      </c>
      <c r="D6" s="18" t="n">
        <v>10</v>
      </c>
      <c r="E6" s="8" t="inlineStr">
        <is>
          <t>Unidad</t>
        </is>
      </c>
      <c r="F6" s="6" t="n">
        <v>25000</v>
      </c>
      <c r="G6" s="19">
        <f>D6*F6</f>
        <v/>
      </c>
      <c r="H6" s="8" t="inlineStr">
        <is>
          <t>Alta</t>
        </is>
      </c>
      <c r="I6" s="5" t="inlineStr">
        <is>
          <t>Proveedor técnico cohetería</t>
        </is>
      </c>
      <c r="J6" s="17" t="inlineStr">
        <is>
          <t>Garantiza ignición remota segura en rampa</t>
        </is>
      </c>
    </row>
    <row r="7">
      <c r="A7" s="8" t="n">
        <v>3</v>
      </c>
      <c r="B7" s="15" t="inlineStr">
        <is>
          <t>Propulsión y Motores Certificados</t>
        </is>
      </c>
      <c r="C7" s="17" t="inlineStr">
        <is>
          <t>Tubo retenedor y montura de motor en aluminio / resina de alta temperatura</t>
        </is>
      </c>
      <c r="D7" s="18" t="n">
        <v>2</v>
      </c>
      <c r="E7" s="8" t="inlineStr">
        <is>
          <t>Kit</t>
        </is>
      </c>
      <c r="F7" s="6" t="n">
        <v>120000</v>
      </c>
      <c r="G7" s="19">
        <f>D7*F7</f>
        <v/>
      </c>
      <c r="H7" s="8" t="inlineStr">
        <is>
          <t>Media</t>
        </is>
      </c>
      <c r="I7" s="5" t="inlineStr">
        <is>
          <t>Taller de manufactura local</t>
        </is>
      </c>
      <c r="J7" s="17" t="inlineStr">
        <is>
          <t>Fijación mecánica de los motores de propulsión</t>
        </is>
      </c>
    </row>
    <row r="8">
      <c r="A8" s="8" t="n">
        <v>4</v>
      </c>
      <c r="B8" s="15" t="inlineStr">
        <is>
          <t>Estructura Aerodinámica y Fuselaje</t>
        </is>
      </c>
      <c r="C8" s="17" t="inlineStr">
        <is>
          <t>Tubos de cuerpo Kraft fenólico de alta resistencia (Diámetro 54mm o 76mm)</t>
        </is>
      </c>
      <c r="D8" s="18" t="n">
        <v>3</v>
      </c>
      <c r="E8" s="8" t="inlineStr">
        <is>
          <t>Tubo (1m)</t>
        </is>
      </c>
      <c r="F8" s="6" t="n">
        <v>95000</v>
      </c>
      <c r="G8" s="19">
        <f>D8*F8</f>
        <v/>
      </c>
      <c r="H8" s="8" t="inlineStr">
        <is>
          <t>Alta</t>
        </is>
      </c>
      <c r="I8" s="5" t="inlineStr">
        <is>
          <t>Proveedor modelismo / industrial</t>
        </is>
      </c>
      <c r="J8" s="17" t="inlineStr">
        <is>
          <t>Estructura principal del cohete (peso ligero y alta rigidez)</t>
        </is>
      </c>
    </row>
    <row r="9">
      <c r="A9" s="8" t="n">
        <v>5</v>
      </c>
      <c r="B9" s="15" t="inlineStr">
        <is>
          <t>Estructura Aerodinámica y Fuselaje</t>
        </is>
      </c>
      <c r="C9" s="17" t="inlineStr">
        <is>
          <t>Ojivas cónicas/parabólicas en filamento PETG de alta densidad con punta reforzada</t>
        </is>
      </c>
      <c r="D9" s="18" t="n">
        <v>2</v>
      </c>
      <c r="E9" s="8" t="inlineStr">
        <is>
          <t>Unidad</t>
        </is>
      </c>
      <c r="F9" s="6" t="n">
        <v>80000</v>
      </c>
      <c r="G9" s="19">
        <f>D9*F9</f>
        <v/>
      </c>
      <c r="H9" s="8" t="inlineStr">
        <is>
          <t>Alta</t>
        </is>
      </c>
      <c r="I9" s="5" t="inlineStr">
        <is>
          <t>Impresión 3D laboratorio PDA</t>
        </is>
      </c>
      <c r="J9" s="17" t="inlineStr">
        <is>
          <t>Optimización del arrastre aerodinámico según OpenRocket</t>
        </is>
      </c>
    </row>
    <row r="10">
      <c r="A10" s="8" t="n">
        <v>6</v>
      </c>
      <c r="B10" s="15" t="inlineStr">
        <is>
          <t>Estructura Aerodinámica y Fuselaje</t>
        </is>
      </c>
      <c r="C10" s="17" t="inlineStr">
        <is>
          <t>Láminas de contrachapado aeronáutico / fibra de vidrio G10 para aletas (aletas trapezoidales)</t>
        </is>
      </c>
      <c r="D10" s="18" t="n">
        <v>4</v>
      </c>
      <c r="E10" s="8" t="inlineStr">
        <is>
          <t>Placa</t>
        </is>
      </c>
      <c r="F10" s="6" t="n">
        <v>65000</v>
      </c>
      <c r="G10" s="19">
        <f>D10*F10</f>
        <v/>
      </c>
      <c r="H10" s="8" t="inlineStr">
        <is>
          <t>Alta</t>
        </is>
      </c>
      <c r="I10" s="5" t="inlineStr">
        <is>
          <t>Distribuidor modelismo / fibra</t>
        </is>
      </c>
      <c r="J10" s="17" t="inlineStr">
        <is>
          <t>Corte de aletas con perfil aerodinámico biselado</t>
        </is>
      </c>
    </row>
    <row r="11">
      <c r="A11" s="8" t="n">
        <v>7</v>
      </c>
      <c r="B11" s="15" t="inlineStr">
        <is>
          <t>Estructura Aerodinámica y Fuselaje</t>
        </is>
      </c>
      <c r="C11" s="17" t="inlineStr">
        <is>
          <t>Guías de riel aeroespacial (Rail buttons de aluminio anodizado 1010)</t>
        </is>
      </c>
      <c r="D11" s="18" t="n">
        <v>4</v>
      </c>
      <c r="E11" s="8" t="inlineStr">
        <is>
          <t>Par</t>
        </is>
      </c>
      <c r="F11" s="6" t="n">
        <v>30000</v>
      </c>
      <c r="G11" s="19">
        <f>D11*F11</f>
        <v/>
      </c>
      <c r="H11" s="8" t="inlineStr">
        <is>
          <t>Media</t>
        </is>
      </c>
      <c r="I11" s="5" t="inlineStr">
        <is>
          <t>Mecanizados Medellín</t>
        </is>
      </c>
      <c r="J11" s="17" t="inlineStr">
        <is>
          <t>Para deslizamiento seguro en el riel de lanzamiento</t>
        </is>
      </c>
    </row>
    <row r="12">
      <c r="A12" s="8" t="n">
        <v>8</v>
      </c>
      <c r="B12" s="15" t="inlineStr">
        <is>
          <t>Sistema de Recuperación y Seguridad</t>
        </is>
      </c>
      <c r="C12" s="17" t="inlineStr">
        <is>
          <t>Paracaídas principal en tela ripstop nylon 30D hexagonal (Diámetro 36 pulgadas)</t>
        </is>
      </c>
      <c r="D12" s="18" t="n">
        <v>2</v>
      </c>
      <c r="E12" s="8" t="inlineStr">
        <is>
          <t>Unidad</t>
        </is>
      </c>
      <c r="F12" s="6" t="n">
        <v>180000</v>
      </c>
      <c r="G12" s="19">
        <f>D12*F12</f>
        <v/>
      </c>
      <c r="H12" s="8" t="inlineStr">
        <is>
          <t>Alta</t>
        </is>
      </c>
      <c r="I12" s="5" t="inlineStr">
        <is>
          <t>Confección técnica / Aeromodelismo</t>
        </is>
      </c>
      <c r="J12" s="17" t="inlineStr">
        <is>
          <t>Velocidad de descenso calculada &lt; 5 m/s para salvaguardar carga</t>
        </is>
      </c>
    </row>
    <row r="13">
      <c r="A13" s="8" t="n">
        <v>9</v>
      </c>
      <c r="B13" s="15" t="inlineStr">
        <is>
          <t>Sistema de Recuperación y Seguridad</t>
        </is>
      </c>
      <c r="C13" s="17" t="inlineStr">
        <is>
          <t>Cordón de choque elástico tubular de alta absorción en Kevlar y cinta elástica plana</t>
        </is>
      </c>
      <c r="D13" s="18" t="n">
        <v>2</v>
      </c>
      <c r="E13" s="8" t="inlineStr">
        <is>
          <t>Rollo 10m</t>
        </is>
      </c>
      <c r="F13" s="6" t="n">
        <v>75000</v>
      </c>
      <c r="G13" s="19">
        <f>D13*F13</f>
        <v/>
      </c>
      <c r="H13" s="8" t="inlineStr">
        <is>
          <t>Alta</t>
        </is>
      </c>
      <c r="I13" s="5" t="inlineStr">
        <is>
          <t>Ferretería náutica / Kevlar</t>
        </is>
      </c>
      <c r="J13" s="17" t="inlineStr">
        <is>
          <t>Absorbe la energía del tirón en la apertura</t>
        </is>
      </c>
    </row>
    <row r="14">
      <c r="A14" s="8" t="n">
        <v>10</v>
      </c>
      <c r="B14" s="15" t="inlineStr">
        <is>
          <t>Sistema de Recuperación y Seguridad</t>
        </is>
      </c>
      <c r="C14" s="17" t="inlineStr">
        <is>
          <t>Mantas ignífugas térmicas para protección del paracaídas (Chute protector Nomex)</t>
        </is>
      </c>
      <c r="D14" s="18" t="n">
        <v>3</v>
      </c>
      <c r="E14" s="8" t="inlineStr">
        <is>
          <t>Unidad</t>
        </is>
      </c>
      <c r="F14" s="6" t="n">
        <v>45000</v>
      </c>
      <c r="G14" s="19">
        <f>D14*F14</f>
        <v/>
      </c>
      <c r="H14" s="8" t="inlineStr">
        <is>
          <t>Alta</t>
        </is>
      </c>
      <c r="I14" s="5" t="inlineStr">
        <is>
          <t>Insumos seguridad industrial</t>
        </is>
      </c>
      <c r="J14" s="17" t="inlineStr">
        <is>
          <t>Evita quemaduras en el paracaídas por los gases de eyección</t>
        </is>
      </c>
    </row>
    <row r="15">
      <c r="A15" s="8" t="n">
        <v>11</v>
      </c>
      <c r="B15" s="15" t="inlineStr">
        <is>
          <t>Aviónica, Telemetría y Carga Útil</t>
        </is>
      </c>
      <c r="C15" s="17" t="inlineStr">
        <is>
          <t>Altímetro barométrico y acelerómetro dual para registro de apogeo y eyección redundante</t>
        </is>
      </c>
      <c r="D15" s="18" t="n">
        <v>2</v>
      </c>
      <c r="E15" s="8" t="inlineStr">
        <is>
          <t>Módulo</t>
        </is>
      </c>
      <c r="F15" s="6" t="n">
        <v>280000</v>
      </c>
      <c r="G15" s="19">
        <f>D15*F15</f>
        <v/>
      </c>
      <c r="H15" s="8" t="inlineStr">
        <is>
          <t>Alta</t>
        </is>
      </c>
      <c r="I15" s="5" t="inlineStr">
        <is>
          <t>Jolly Logic / PerfectFlite / Fabricación propia</t>
        </is>
      </c>
      <c r="J15" s="17" t="inlineStr">
        <is>
          <t>Registro oficial de altitud para jurados del concurso</t>
        </is>
      </c>
    </row>
    <row r="16">
      <c r="A16" s="8" t="n">
        <v>12</v>
      </c>
      <c r="B16" s="15" t="inlineStr">
        <is>
          <t>Aviónica, Telemetría y Carga Útil</t>
        </is>
      </c>
      <c r="C16" s="17" t="inlineStr">
        <is>
          <t>Módulos transceptores LoRa 915 MHz + Microcontrolador ESP32 + Antenas dipolo alta ganancia</t>
        </is>
      </c>
      <c r="D16" s="18" t="n">
        <v>2</v>
      </c>
      <c r="E16" s="8" t="inlineStr">
        <is>
          <t>Kit</t>
        </is>
      </c>
      <c r="F16" s="6" t="n">
        <v>190000</v>
      </c>
      <c r="G16" s="19">
        <f>D16*F16</f>
        <v/>
      </c>
      <c r="H16" s="8" t="inlineStr">
        <is>
          <t>Alta</t>
        </is>
      </c>
      <c r="I16" s="5" t="inlineStr">
        <is>
          <t>Tienda electrónica Medellín</t>
        </is>
      </c>
      <c r="J16" s="17" t="inlineStr">
        <is>
          <t>Transmisión de telemetría de vuelo en tiempo real a estación de tierra</t>
        </is>
      </c>
    </row>
    <row r="17">
      <c r="A17" s="8" t="n">
        <v>13</v>
      </c>
      <c r="B17" s="15" t="inlineStr">
        <is>
          <t>Aviónica, Telemetría y Carga Útil</t>
        </is>
      </c>
      <c r="C17" s="17" t="inlineStr">
        <is>
          <t>Baterías recargables LiPo 1S/2S 300-500mAh 25C ultra-ligeras con cargador balanceador</t>
        </is>
      </c>
      <c r="D17" s="18" t="n">
        <v>3</v>
      </c>
      <c r="E17" s="8" t="inlineStr">
        <is>
          <t>Unidad</t>
        </is>
      </c>
      <c r="F17" s="6" t="n">
        <v>55000</v>
      </c>
      <c r="G17" s="19">
        <f>D17*F17</f>
        <v/>
      </c>
      <c r="H17" s="8" t="inlineStr">
        <is>
          <t>Alta</t>
        </is>
      </c>
      <c r="I17" s="5" t="inlineStr">
        <is>
          <t>Hobbies &amp; Drones Colombia</t>
        </is>
      </c>
      <c r="J17" s="17" t="inlineStr">
        <is>
          <t>Alimentación confiable de aviónica sin riesgo de corte de energía</t>
        </is>
      </c>
    </row>
    <row r="18">
      <c r="A18" s="8" t="n">
        <v>14</v>
      </c>
      <c r="B18" s="15" t="inlineStr">
        <is>
          <t>Aviónica, Telemetría y Carga Útil</t>
        </is>
      </c>
      <c r="C18" s="17" t="inlineStr">
        <is>
          <t>Buzzer piezoeléctrico de alta sonoridad (100 dB) + Beacon de rescate LED de alta potencia</t>
        </is>
      </c>
      <c r="D18" s="18" t="n">
        <v>2</v>
      </c>
      <c r="E18" s="8" t="inlineStr">
        <is>
          <t>Unidad</t>
        </is>
      </c>
      <c r="F18" s="6" t="n">
        <v>35000</v>
      </c>
      <c r="G18" s="19">
        <f>D18*F18</f>
        <v/>
      </c>
      <c r="H18" s="8" t="inlineStr">
        <is>
          <t>Media</t>
        </is>
      </c>
      <c r="I18" s="5" t="inlineStr">
        <is>
          <t>Electrónica comercial</t>
        </is>
      </c>
      <c r="J18" s="17" t="inlineStr">
        <is>
          <t>Facilita la pronta localización del cohete en zona agreste tras aterrizaje</t>
        </is>
      </c>
    </row>
    <row r="19">
      <c r="A19" s="8" t="n">
        <v>15</v>
      </c>
      <c r="B19" s="15" t="inlineStr">
        <is>
          <t>Aviónica, Telemetría y Carga Útil</t>
        </is>
      </c>
      <c r="C19" s="17" t="inlineStr">
        <is>
          <t>Cápsula contenedora y amortiguador para carga útil biológica (Misión "El Huevonauta")</t>
        </is>
      </c>
      <c r="D19" s="18" t="n">
        <v>2</v>
      </c>
      <c r="E19" s="8" t="inlineStr">
        <is>
          <t>Set</t>
        </is>
      </c>
      <c r="F19" s="6" t="n">
        <v>40000</v>
      </c>
      <c r="G19" s="19">
        <f>D19*F19</f>
        <v/>
      </c>
      <c r="H19" s="8" t="inlineStr">
        <is>
          <t>Alta</t>
        </is>
      </c>
      <c r="I19" s="5" t="inlineStr">
        <is>
          <t>Diseño CAD y espuma EVA laboratorio</t>
        </is>
      </c>
      <c r="J19" s="17" t="inlineStr">
        <is>
          <t>Protección biomecánica del huevo crudo ante fuerzas G</t>
        </is>
      </c>
    </row>
    <row r="20">
      <c r="A20" s="8" t="n">
        <v>16</v>
      </c>
      <c r="B20" s="15" t="inlineStr">
        <is>
          <t>Herramientas de Taller y Consumibles</t>
        </is>
      </c>
      <c r="C20" s="17" t="inlineStr">
        <is>
          <t>Resina epóxica aeroespacial de curado 15 y 30 minutos + Masilla de carrocero para uniones</t>
        </is>
      </c>
      <c r="D20" s="18" t="n">
        <v>3</v>
      </c>
      <c r="E20" s="8" t="inlineStr">
        <is>
          <t>Kit</t>
        </is>
      </c>
      <c r="F20" s="6" t="n">
        <v>60000</v>
      </c>
      <c r="G20" s="19">
        <f>D20*F20</f>
        <v/>
      </c>
      <c r="H20" s="8" t="inlineStr">
        <is>
          <t>Alta</t>
        </is>
      </c>
      <c r="I20" s="5" t="inlineStr">
        <is>
          <t>Distribuidora química</t>
        </is>
      </c>
      <c r="J20" s="17" t="inlineStr">
        <is>
          <t>Unión estructural ultra-resistente de cuadernas y aletas</t>
        </is>
      </c>
    </row>
    <row r="21">
      <c r="A21" s="8" t="n">
        <v>17</v>
      </c>
      <c r="B21" s="15" t="inlineStr">
        <is>
          <t>Herramientas de Taller y Consumibles</t>
        </is>
      </c>
      <c r="C21" s="17" t="inlineStr">
        <is>
          <t>Pintura automotriz en spray base poliéster (Colores de alta visibilidad: naranja/blanco flúor)</t>
        </is>
      </c>
      <c r="D21" s="18" t="n">
        <v>4</v>
      </c>
      <c r="E21" s="8" t="inlineStr">
        <is>
          <t>Lata</t>
        </is>
      </c>
      <c r="F21" s="6" t="n">
        <v>28000</v>
      </c>
      <c r="G21" s="19">
        <f>D21*F21</f>
        <v/>
      </c>
      <c r="H21" s="8" t="inlineStr">
        <is>
          <t>Media</t>
        </is>
      </c>
      <c r="I21" s="5" t="inlineStr">
        <is>
          <t>Ferretería local La Estrella</t>
        </is>
      </c>
      <c r="J21" s="17" t="inlineStr">
        <is>
          <t>Acabado aerodinámico brillante y visibilidad óptica en cielo</t>
        </is>
      </c>
    </row>
    <row r="22">
      <c r="A22" s="8" t="n">
        <v>18</v>
      </c>
      <c r="B22" s="15" t="inlineStr">
        <is>
          <t>Herramientas de Taller y Consumibles</t>
        </is>
      </c>
      <c r="C22" s="17" t="inlineStr">
        <is>
          <t>Consumibles de taller (Lijas de grano 240 a 1000, cinta enmascarar, guantes de nitrilo, alcohol)</t>
        </is>
      </c>
      <c r="D22" s="18" t="n">
        <v>1</v>
      </c>
      <c r="E22" s="8" t="inlineStr">
        <is>
          <t>Lote</t>
        </is>
      </c>
      <c r="F22" s="6" t="n">
        <v>90000</v>
      </c>
      <c r="G22" s="19">
        <f>D22*F22</f>
        <v/>
      </c>
      <c r="H22" s="8" t="inlineStr">
        <is>
          <t>Media</t>
        </is>
      </c>
      <c r="I22" s="5" t="inlineStr">
        <is>
          <t>Comercio local</t>
        </is>
      </c>
      <c r="J22" s="17" t="inlineStr">
        <is>
          <t>Preparación de superficies y ensamblaje seguro</t>
        </is>
      </c>
    </row>
    <row r="23">
      <c r="A23" s="8" t="n">
        <v>19</v>
      </c>
      <c r="B23" s="15" t="inlineStr">
        <is>
          <t>Logística de Lanzamiento, Transporte y Campo</t>
        </is>
      </c>
      <c r="C23" s="17" t="inlineStr">
        <is>
          <t>Transporte terrestre ida y vuelta del equipo y cohetes (La Estrella - Sede de Lanzamiento)</t>
        </is>
      </c>
      <c r="D23" s="18" t="n">
        <v>1</v>
      </c>
      <c r="E23" s="8" t="inlineStr">
        <is>
          <t>Servicio</t>
        </is>
      </c>
      <c r="F23" s="6" t="n">
        <v>850000</v>
      </c>
      <c r="G23" s="19">
        <f>D23*F23</f>
        <v/>
      </c>
      <c r="H23" s="8" t="inlineStr">
        <is>
          <t>Alta</t>
        </is>
      </c>
      <c r="I23" s="5" t="inlineStr">
        <is>
          <t>Empresa de transporte de pasajeros</t>
        </is>
      </c>
      <c r="J23" s="17" t="inlineStr">
        <is>
          <t>Movilización segura de los estudiantes y material delicado</t>
        </is>
      </c>
    </row>
    <row r="24">
      <c r="A24" s="8" t="n">
        <v>20</v>
      </c>
      <c r="B24" s="15" t="inlineStr">
        <is>
          <t>Logística de Lanzamiento, Transporte y Campo</t>
        </is>
      </c>
      <c r="C24" s="17" t="inlineStr">
        <is>
          <t>Alimentación, hidratación y refrigerios para el equipo técnico durante las jornadas de campo</t>
        </is>
      </c>
      <c r="D24" s="18" t="n">
        <v>5</v>
      </c>
      <c r="E24" s="8" t="inlineStr">
        <is>
          <t>Persona (2 días)</t>
        </is>
      </c>
      <c r="F24" s="6" t="n">
        <v>80000</v>
      </c>
      <c r="G24" s="19">
        <f>D24*F24</f>
        <v/>
      </c>
      <c r="H24" s="8" t="inlineStr">
        <is>
          <t>Alta</t>
        </is>
      </c>
      <c r="I24" s="5" t="inlineStr">
        <is>
          <t>Logística de alimentación</t>
        </is>
      </c>
      <c r="J24" s="17" t="inlineStr">
        <is>
          <t>5 estudiantes + docente asesor durante jornada completa de competencia</t>
        </is>
      </c>
    </row>
    <row r="25">
      <c r="A25" s="8" t="n">
        <v>21</v>
      </c>
      <c r="B25" s="15" t="inlineStr">
        <is>
          <t>Logística de Lanzamiento, Transporte y Campo</t>
        </is>
      </c>
      <c r="C25" s="17" t="inlineStr">
        <is>
          <t>Batería automotriz de 12V / Estación de energía portátil para rampa de ignición y antenas</t>
        </is>
      </c>
      <c r="D25" s="18" t="n">
        <v>1</v>
      </c>
      <c r="E25" s="8" t="inlineStr">
        <is>
          <t>Unidad</t>
        </is>
      </c>
      <c r="F25" s="6" t="n">
        <v>320000</v>
      </c>
      <c r="G25" s="19">
        <f>D25*F25</f>
        <v/>
      </c>
      <c r="H25" s="8" t="inlineStr">
        <is>
          <t>Media</t>
        </is>
      </c>
      <c r="I25" s="5" t="inlineStr">
        <is>
          <t>Almacén de baterías / Ferretería</t>
        </is>
      </c>
      <c r="J25" s="17" t="inlineStr">
        <is>
          <t>Alimentación de la estación de tierra y control de ignición</t>
        </is>
      </c>
    </row>
    <row r="26">
      <c r="A26" s="8" t="n">
        <v>22</v>
      </c>
      <c r="B26" s="15" t="inlineStr">
        <is>
          <t>Logística de Lanzamiento, Transporte y Campo</t>
        </is>
      </c>
      <c r="C26" s="17" t="inlineStr">
        <is>
          <t>Carpa toldo plegable 3x3m para protección solar/lluvia y mesa de trabajo de campo</t>
        </is>
      </c>
      <c r="D26" s="18" t="n">
        <v>1</v>
      </c>
      <c r="E26" s="8" t="inlineStr">
        <is>
          <t>Servicio / Compra</t>
        </is>
      </c>
      <c r="F26" s="6" t="n">
        <v>250000</v>
      </c>
      <c r="G26" s="19">
        <f>D26*F26</f>
        <v/>
      </c>
      <c r="H26" s="8" t="inlineStr">
        <is>
          <t>Media</t>
        </is>
      </c>
      <c r="I26" s="5" t="inlineStr">
        <is>
          <t>Almacén deportivo / alquiler</t>
        </is>
      </c>
      <c r="J26" s="17" t="inlineStr">
        <is>
          <t>Base de operaciones y ensamblaje pre-vuelo en la zona de lanzamiento</t>
        </is>
      </c>
    </row>
    <row r="27">
      <c r="A27" s="8" t="n">
        <v>23</v>
      </c>
      <c r="B27" s="15" t="inlineStr">
        <is>
          <t>Inscripciones, Pólizas y Administrativo</t>
        </is>
      </c>
      <c r="C27" s="17" t="inlineStr">
        <is>
          <t>Derechos de inscripción del equipo al Concurso Colombiano de Cohetería Deportiva 2026</t>
        </is>
      </c>
      <c r="D27" s="18" t="n">
        <v>1</v>
      </c>
      <c r="E27" s="8" t="inlineStr">
        <is>
          <t>Equipo</t>
        </is>
      </c>
      <c r="F27" s="6" t="n">
        <v>450000</v>
      </c>
      <c r="G27" s="19">
        <f>D27*F27</f>
        <v/>
      </c>
      <c r="H27" s="8" t="inlineStr">
        <is>
          <t>Alta</t>
        </is>
      </c>
      <c r="I27" s="5" t="inlineStr">
        <is>
          <t>Organización CCCD / ALAS / SateLab</t>
        </is>
      </c>
      <c r="J27" s="17" t="inlineStr">
        <is>
          <t>Aval oficial y participación en rondas de competencia y premiación</t>
        </is>
      </c>
    </row>
    <row r="28">
      <c r="A28" s="8" t="n">
        <v>24</v>
      </c>
      <c r="B28" s="15" t="inlineStr">
        <is>
          <t>Inscripciones, Pólizas y Administrativo</t>
        </is>
      </c>
      <c r="C28" s="17" t="inlineStr">
        <is>
          <t>Póliza de accidentes estudiantiles / Seguro de actividad extraescolar de campo</t>
        </is>
      </c>
      <c r="D28" s="18" t="n">
        <v>6</v>
      </c>
      <c r="E28" s="8" t="inlineStr">
        <is>
          <t>Persona</t>
        </is>
      </c>
      <c r="F28" s="6" t="n">
        <v>35000</v>
      </c>
      <c r="G28" s="19">
        <f>D28*F28</f>
        <v/>
      </c>
      <c r="H28" s="8" t="inlineStr">
        <is>
          <t>Alta</t>
        </is>
      </c>
      <c r="I28" s="5" t="inlineStr">
        <is>
          <t>Aseguradora escolar</t>
        </is>
      </c>
      <c r="J28" s="17" t="inlineStr">
        <is>
          <t>Cobertura médica y seguridad de estudiantes y docente en campo</t>
        </is>
      </c>
    </row>
    <row r="29">
      <c r="A29" s="8" t="n">
        <v>25</v>
      </c>
      <c r="B29" s="15" t="inlineStr">
        <is>
          <t>Inscripciones, Pólizas y Administrativo</t>
        </is>
      </c>
      <c r="C29" s="17" t="inlineStr">
        <is>
          <t>Impresión de documentación técnica, bitácoras de vuelo y afiches científicos de jurados</t>
        </is>
      </c>
      <c r="D29" s="18" t="n">
        <v>1</v>
      </c>
      <c r="E29" s="8" t="inlineStr">
        <is>
          <t>Lote</t>
        </is>
      </c>
      <c r="F29" s="6" t="n">
        <v>80000</v>
      </c>
      <c r="G29" s="19">
        <f>D29*F29</f>
        <v/>
      </c>
      <c r="H29" s="8" t="inlineStr">
        <is>
          <t>Media</t>
        </is>
      </c>
      <c r="I29" s="5" t="inlineStr">
        <is>
          <t>Centro de copiado La Estrella</t>
        </is>
      </c>
      <c r="J29" s="17" t="inlineStr">
        <is>
          <t>Entrega física de memorias de cálculo y póster técnico para jurados de NASA/SpaceX</t>
        </is>
      </c>
    </row>
    <row r="30">
      <c r="A30" s="20" t="inlineStr">
        <is>
          <t>TOTAL GENERAL PRESUPUESTADO CCCD 2026</t>
        </is>
      </c>
      <c r="B30" s="16" t="n"/>
      <c r="C30" s="16" t="n"/>
      <c r="D30" s="16" t="n"/>
      <c r="E30" s="16" t="n"/>
      <c r="F30" s="16" t="n"/>
      <c r="G30" s="21">
        <f>SUM(G5:G29)</f>
        <v/>
      </c>
      <c r="H30" s="16" t="inlineStr"/>
      <c r="I30" s="16" t="inlineStr"/>
      <c r="J30" s="16" t="inlineStr"/>
    </row>
  </sheetData>
  <mergeCells count="1">
    <mergeCell ref="A30:F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32" customWidth="1" min="3" max="3"/>
    <col width="36" customWidth="1" min="4" max="4"/>
    <col width="44" customWidth="1" min="5" max="5"/>
    <col width="12" customWidth="1" min="6" max="6"/>
    <col width="26" customWidth="1" min="7" max="7"/>
    <col width="18" customWidth="1" min="8" max="8"/>
    <col width="26" customWidth="1" min="9" max="9"/>
    <col width="28" customWidth="1" min="10" max="10"/>
    <col width="32" customWidth="1" min="11" max="11"/>
  </cols>
  <sheetData>
    <row r="1">
      <c r="A1" s="1" t="inlineStr">
        <is>
          <t>RELACIÓN Y CONTROL DE GASTOS REALES EJECUTADOS — CCCD 2026</t>
        </is>
      </c>
    </row>
    <row r="2">
      <c r="A2" s="2" t="inlineStr">
        <is>
          <t>Registro cronológico de compras, facturas, soportes contables y desembolsos</t>
        </is>
      </c>
    </row>
    <row r="3"/>
    <row r="4">
      <c r="A4" s="4" t="inlineStr">
        <is>
          <t>FECHA (DD/MM/AAAA)</t>
        </is>
      </c>
      <c r="B4" s="4" t="inlineStr">
        <is>
          <t>N° FACTURA / RECIBO</t>
        </is>
      </c>
      <c r="C4" s="4" t="inlineStr">
        <is>
          <t>PROVEEDOR / ESTABLECIMIENTO</t>
        </is>
      </c>
      <c r="D4" s="4" t="inlineStr">
        <is>
          <t>CATEGORÍA</t>
        </is>
      </c>
      <c r="E4" s="4" t="inlineStr">
        <is>
          <t>DESCRIPCIÓN DETALLADA DEL GASTO</t>
        </is>
      </c>
      <c r="F4" s="4" t="inlineStr">
        <is>
          <t>CANTIDAD</t>
        </is>
      </c>
      <c r="G4" s="4" t="inlineStr">
        <is>
          <t>VALOR TOTAL PAGADO (COP)</t>
        </is>
      </c>
      <c r="H4" s="4" t="inlineStr">
        <is>
          <t>FORMA DE PAGO</t>
        </is>
      </c>
      <c r="I4" s="4" t="inlineStr">
        <is>
          <t>RESPONSABLE DE COMPRA</t>
        </is>
      </c>
      <c r="J4" s="4" t="inlineStr">
        <is>
          <t>ESTADO DEL SOPORTE FÍSICO / DIGITAL</t>
        </is>
      </c>
      <c r="K4" s="4" t="inlineStr">
        <is>
          <t>OBSERVACIONES / ENLACE AL DRIVE</t>
        </is>
      </c>
    </row>
    <row r="5">
      <c r="A5" s="8" t="n"/>
      <c r="B5" s="8" t="n"/>
      <c r="C5" s="5" t="n"/>
      <c r="D5" s="5" t="n"/>
      <c r="E5" s="5" t="n"/>
      <c r="F5" s="8" t="n"/>
      <c r="G5" s="6" t="n"/>
      <c r="H5" s="8" t="n"/>
      <c r="I5" s="5" t="n"/>
      <c r="J5" s="8" t="n"/>
      <c r="K5" s="5" t="n"/>
    </row>
    <row r="6">
      <c r="A6" s="8" t="n"/>
      <c r="B6" s="8" t="n"/>
      <c r="C6" s="5" t="n"/>
      <c r="D6" s="5" t="n"/>
      <c r="E6" s="5" t="n"/>
      <c r="F6" s="8" t="n"/>
      <c r="G6" s="6" t="n"/>
      <c r="H6" s="8" t="n"/>
      <c r="I6" s="5" t="n"/>
      <c r="J6" s="8" t="n"/>
      <c r="K6" s="5" t="n"/>
    </row>
    <row r="7">
      <c r="A7" s="8" t="n"/>
      <c r="B7" s="8" t="n"/>
      <c r="C7" s="5" t="n"/>
      <c r="D7" s="5" t="n"/>
      <c r="E7" s="5" t="n"/>
      <c r="F7" s="8" t="n"/>
      <c r="G7" s="6" t="n"/>
      <c r="H7" s="8" t="n"/>
      <c r="I7" s="5" t="n"/>
      <c r="J7" s="8" t="n"/>
      <c r="K7" s="5" t="n"/>
    </row>
    <row r="8">
      <c r="A8" s="8" t="n"/>
      <c r="B8" s="8" t="n"/>
      <c r="C8" s="5" t="n"/>
      <c r="D8" s="5" t="n"/>
      <c r="E8" s="5" t="n"/>
      <c r="F8" s="8" t="n"/>
      <c r="G8" s="6" t="n"/>
      <c r="H8" s="8" t="n"/>
      <c r="I8" s="5" t="n"/>
      <c r="J8" s="8" t="n"/>
      <c r="K8" s="5" t="n"/>
    </row>
    <row r="9">
      <c r="A9" s="8" t="n"/>
      <c r="B9" s="8" t="n"/>
      <c r="C9" s="5" t="n"/>
      <c r="D9" s="5" t="n"/>
      <c r="E9" s="5" t="n"/>
      <c r="F9" s="8" t="n"/>
      <c r="G9" s="6" t="n"/>
      <c r="H9" s="8" t="n"/>
      <c r="I9" s="5" t="n"/>
      <c r="J9" s="8" t="n"/>
      <c r="K9" s="5" t="n"/>
    </row>
    <row r="10">
      <c r="A10" s="8" t="n"/>
      <c r="B10" s="8" t="n"/>
      <c r="C10" s="5" t="n"/>
      <c r="D10" s="5" t="n"/>
      <c r="E10" s="5" t="n"/>
      <c r="F10" s="8" t="n"/>
      <c r="G10" s="6" t="n"/>
      <c r="H10" s="8" t="n"/>
      <c r="I10" s="5" t="n"/>
      <c r="J10" s="8" t="n"/>
      <c r="K10" s="5" t="n"/>
    </row>
    <row r="11">
      <c r="A11" s="8" t="n"/>
      <c r="B11" s="8" t="n"/>
      <c r="C11" s="5" t="n"/>
      <c r="D11" s="5" t="n"/>
      <c r="E11" s="5" t="n"/>
      <c r="F11" s="8" t="n"/>
      <c r="G11" s="6" t="n"/>
      <c r="H11" s="8" t="n"/>
      <c r="I11" s="5" t="n"/>
      <c r="J11" s="8" t="n"/>
      <c r="K11" s="5" t="n"/>
    </row>
    <row r="12">
      <c r="A12" s="8" t="n"/>
      <c r="B12" s="8" t="n"/>
      <c r="C12" s="5" t="n"/>
      <c r="D12" s="5" t="n"/>
      <c r="E12" s="5" t="n"/>
      <c r="F12" s="8" t="n"/>
      <c r="G12" s="6" t="n"/>
      <c r="H12" s="8" t="n"/>
      <c r="I12" s="5" t="n"/>
      <c r="J12" s="8" t="n"/>
      <c r="K12" s="5" t="n"/>
    </row>
    <row r="13">
      <c r="A13" s="8" t="n"/>
      <c r="B13" s="8" t="n"/>
      <c r="C13" s="5" t="n"/>
      <c r="D13" s="5" t="n"/>
      <c r="E13" s="5" t="n"/>
      <c r="F13" s="8" t="n"/>
      <c r="G13" s="6" t="n"/>
      <c r="H13" s="8" t="n"/>
      <c r="I13" s="5" t="n"/>
      <c r="J13" s="8" t="n"/>
      <c r="K13" s="5" t="n"/>
    </row>
    <row r="14">
      <c r="A14" s="8" t="n"/>
      <c r="B14" s="8" t="n"/>
      <c r="C14" s="5" t="n"/>
      <c r="D14" s="5" t="n"/>
      <c r="E14" s="5" t="n"/>
      <c r="F14" s="8" t="n"/>
      <c r="G14" s="6" t="n"/>
      <c r="H14" s="8" t="n"/>
      <c r="I14" s="5" t="n"/>
      <c r="J14" s="8" t="n"/>
      <c r="K14" s="5" t="n"/>
    </row>
    <row r="15">
      <c r="A15" s="8" t="n"/>
      <c r="B15" s="8" t="n"/>
      <c r="C15" s="5" t="n"/>
      <c r="D15" s="5" t="n"/>
      <c r="E15" s="5" t="n"/>
      <c r="F15" s="8" t="n"/>
      <c r="G15" s="6" t="n"/>
      <c r="H15" s="8" t="n"/>
      <c r="I15" s="5" t="n"/>
      <c r="J15" s="8" t="n"/>
      <c r="K15" s="5" t="n"/>
    </row>
    <row r="16">
      <c r="A16" s="8" t="n"/>
      <c r="B16" s="8" t="n"/>
      <c r="C16" s="5" t="n"/>
      <c r="D16" s="5" t="n"/>
      <c r="E16" s="5" t="n"/>
      <c r="F16" s="8" t="n"/>
      <c r="G16" s="6" t="n"/>
      <c r="H16" s="8" t="n"/>
      <c r="I16" s="5" t="n"/>
      <c r="J16" s="8" t="n"/>
      <c r="K16" s="5" t="n"/>
    </row>
    <row r="17">
      <c r="A17" s="8" t="n"/>
      <c r="B17" s="8" t="n"/>
      <c r="C17" s="5" t="n"/>
      <c r="D17" s="5" t="n"/>
      <c r="E17" s="5" t="n"/>
      <c r="F17" s="8" t="n"/>
      <c r="G17" s="6" t="n"/>
      <c r="H17" s="8" t="n"/>
      <c r="I17" s="5" t="n"/>
      <c r="J17" s="8" t="n"/>
      <c r="K17" s="5" t="n"/>
    </row>
    <row r="18">
      <c r="A18" s="8" t="n"/>
      <c r="B18" s="8" t="n"/>
      <c r="C18" s="5" t="n"/>
      <c r="D18" s="5" t="n"/>
      <c r="E18" s="5" t="n"/>
      <c r="F18" s="8" t="n"/>
      <c r="G18" s="6" t="n"/>
      <c r="H18" s="8" t="n"/>
      <c r="I18" s="5" t="n"/>
      <c r="J18" s="8" t="n"/>
      <c r="K18" s="5" t="n"/>
    </row>
    <row r="19">
      <c r="A19" s="8" t="n"/>
      <c r="B19" s="8" t="n"/>
      <c r="C19" s="5" t="n"/>
      <c r="D19" s="5" t="n"/>
      <c r="E19" s="5" t="n"/>
      <c r="F19" s="8" t="n"/>
      <c r="G19" s="6" t="n"/>
      <c r="H19" s="8" t="n"/>
      <c r="I19" s="5" t="n"/>
      <c r="J19" s="8" t="n"/>
      <c r="K19" s="5" t="n"/>
    </row>
    <row r="20">
      <c r="A20" s="8" t="n"/>
      <c r="B20" s="8" t="n"/>
      <c r="C20" s="5" t="n"/>
      <c r="D20" s="5" t="n"/>
      <c r="E20" s="5" t="n"/>
      <c r="F20" s="8" t="n"/>
      <c r="G20" s="6" t="n"/>
      <c r="H20" s="8" t="n"/>
      <c r="I20" s="5" t="n"/>
      <c r="J20" s="8" t="n"/>
      <c r="K20" s="5" t="n"/>
    </row>
    <row r="21">
      <c r="A21" s="8" t="n"/>
      <c r="B21" s="8" t="n"/>
      <c r="C21" s="5" t="n"/>
      <c r="D21" s="5" t="n"/>
      <c r="E21" s="5" t="n"/>
      <c r="F21" s="8" t="n"/>
      <c r="G21" s="6" t="n"/>
      <c r="H21" s="8" t="n"/>
      <c r="I21" s="5" t="n"/>
      <c r="J21" s="8" t="n"/>
      <c r="K21" s="5" t="n"/>
    </row>
    <row r="22">
      <c r="A22" s="8" t="n"/>
      <c r="B22" s="8" t="n"/>
      <c r="C22" s="5" t="n"/>
      <c r="D22" s="5" t="n"/>
      <c r="E22" s="5" t="n"/>
      <c r="F22" s="8" t="n"/>
      <c r="G22" s="6" t="n"/>
      <c r="H22" s="8" t="n"/>
      <c r="I22" s="5" t="n"/>
      <c r="J22" s="8" t="n"/>
      <c r="K22" s="5" t="n"/>
    </row>
    <row r="23">
      <c r="A23" s="8" t="n"/>
      <c r="B23" s="8" t="n"/>
      <c r="C23" s="5" t="n"/>
      <c r="D23" s="5" t="n"/>
      <c r="E23" s="5" t="n"/>
      <c r="F23" s="8" t="n"/>
      <c r="G23" s="6" t="n"/>
      <c r="H23" s="8" t="n"/>
      <c r="I23" s="5" t="n"/>
      <c r="J23" s="8" t="n"/>
      <c r="K23" s="5" t="n"/>
    </row>
    <row r="24">
      <c r="A24" s="8" t="n"/>
      <c r="B24" s="8" t="n"/>
      <c r="C24" s="5" t="n"/>
      <c r="D24" s="5" t="n"/>
      <c r="E24" s="5" t="n"/>
      <c r="F24" s="8" t="n"/>
      <c r="G24" s="6" t="n"/>
      <c r="H24" s="8" t="n"/>
      <c r="I24" s="5" t="n"/>
      <c r="J24" s="8" t="n"/>
      <c r="K24" s="5" t="n"/>
    </row>
    <row r="25">
      <c r="A25" s="8" t="n"/>
      <c r="B25" s="8" t="n"/>
      <c r="C25" s="5" t="n"/>
      <c r="D25" s="5" t="n"/>
      <c r="E25" s="5" t="n"/>
      <c r="F25" s="8" t="n"/>
      <c r="G25" s="6" t="n"/>
      <c r="H25" s="8" t="n"/>
      <c r="I25" s="5" t="n"/>
      <c r="J25" s="8" t="n"/>
      <c r="K25" s="5" t="n"/>
    </row>
    <row r="26">
      <c r="A26" s="8" t="n"/>
      <c r="B26" s="8" t="n"/>
      <c r="C26" s="5" t="n"/>
      <c r="D26" s="5" t="n"/>
      <c r="E26" s="5" t="n"/>
      <c r="F26" s="8" t="n"/>
      <c r="G26" s="6" t="n"/>
      <c r="H26" s="8" t="n"/>
      <c r="I26" s="5" t="n"/>
      <c r="J26" s="8" t="n"/>
      <c r="K26" s="5" t="n"/>
    </row>
    <row r="27">
      <c r="A27" s="8" t="n"/>
      <c r="B27" s="8" t="n"/>
      <c r="C27" s="5" t="n"/>
      <c r="D27" s="5" t="n"/>
      <c r="E27" s="5" t="n"/>
      <c r="F27" s="8" t="n"/>
      <c r="G27" s="6" t="n"/>
      <c r="H27" s="8" t="n"/>
      <c r="I27" s="5" t="n"/>
      <c r="J27" s="8" t="n"/>
      <c r="K27" s="5" t="n"/>
    </row>
    <row r="28">
      <c r="A28" s="8" t="n"/>
      <c r="B28" s="8" t="n"/>
      <c r="C28" s="5" t="n"/>
      <c r="D28" s="5" t="n"/>
      <c r="E28" s="5" t="n"/>
      <c r="F28" s="8" t="n"/>
      <c r="G28" s="6" t="n"/>
      <c r="H28" s="8" t="n"/>
      <c r="I28" s="5" t="n"/>
      <c r="J28" s="8" t="n"/>
      <c r="K28" s="5" t="n"/>
    </row>
    <row r="29">
      <c r="A29" s="8" t="n"/>
      <c r="B29" s="8" t="n"/>
      <c r="C29" s="5" t="n"/>
      <c r="D29" s="5" t="n"/>
      <c r="E29" s="5" t="n"/>
      <c r="F29" s="8" t="n"/>
      <c r="G29" s="6" t="n"/>
      <c r="H29" s="8" t="n"/>
      <c r="I29" s="5" t="n"/>
      <c r="J29" s="8" t="n"/>
      <c r="K29" s="5" t="n"/>
    </row>
    <row r="30">
      <c r="A30" s="20" t="inlineStr">
        <is>
          <t>TOTAL GASTOS EJECUTADOS ACUMULADOS</t>
        </is>
      </c>
      <c r="B30" s="16" t="n"/>
      <c r="C30" s="16" t="n"/>
      <c r="D30" s="16" t="n"/>
      <c r="E30" s="16" t="n"/>
      <c r="F30" s="16" t="n"/>
      <c r="G30" s="21">
        <f>SUM(G5:G29)</f>
        <v/>
      </c>
      <c r="H30" s="16" t="inlineStr"/>
      <c r="I30" s="16" t="inlineStr"/>
      <c r="J30" s="16" t="inlineStr"/>
      <c r="K30" s="16" t="inlineStr"/>
    </row>
  </sheetData>
  <mergeCells count="1">
    <mergeCell ref="A30:F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2026-09-17T12:40:25Z</dcterms:created>
  <dcterms:modified xmlns:dcterms="http://purl.org/dc/terms/" xmlns:xsi="http://www.w3.org/2001/XMLSchema-instance" xsi:type="dcterms:W3CDTF">2026-09-17T12:40:25Z</dcterms:modified>
</cp:coreProperties>
</file>