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ESUPUESTO" sheetId="1" state="visible" r:id="rId1"/>
    <sheet xmlns:r="http://schemas.openxmlformats.org/officeDocument/2006/relationships" name="CRONOGRAMA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4">
    <font>
      <name val="Arial"/>
      <color rgb="FF000000"/>
      <sz val="10"/>
      <scheme val="minor"/>
    </font>
    <font>
      <name val="Arial"/>
      <color rgb="FF000000"/>
      <sz val="10"/>
    </font>
    <font/>
    <font>
      <name val="Arial"/>
      <b val="1"/>
      <color rgb="00000000"/>
      <sz val="10"/>
    </font>
    <font>
      <name val="Arial"/>
      <b val="1"/>
      <sz val="10"/>
    </font>
    <font>
      <name val="Arial"/>
      <color rgb="FFFF0000"/>
      <sz val="10"/>
    </font>
    <font>
      <name val="Arial"/>
      <color rgb="00000000"/>
      <sz val="10"/>
    </font>
    <font>
      <name val="Arial"/>
      <b val="1"/>
      <color rgb="00000000"/>
      <sz val="15"/>
    </font>
    <font>
      <name val="Calibri"/>
      <b val="1"/>
      <color rgb="001E3A8A"/>
      <sz val="11"/>
    </font>
    <font>
      <name val="Calibri"/>
      <i val="1"/>
      <sz val="11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3A8A"/>
      <sz val="12"/>
    </font>
  </fonts>
  <fills count="5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00E2E8F0"/>
        <bgColor rgb="00E2E8F0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0" borderId="7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3" fillId="0" borderId="8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4" fillId="0" borderId="8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164" fontId="3" fillId="2" borderId="8" applyAlignment="1" pivotButton="0" quotePrefix="0" xfId="0">
      <alignment horizontal="center"/>
    </xf>
    <xf numFmtId="0" fontId="6" fillId="0" borderId="8" pivotButton="0" quotePrefix="0" xfId="0"/>
    <xf numFmtId="0" fontId="5" fillId="0" borderId="8" pivotButton="0" quotePrefix="0" xfId="0"/>
    <xf numFmtId="164" fontId="5" fillId="0" borderId="8" pivotButton="0" quotePrefix="0" xfId="0"/>
    <xf numFmtId="164" fontId="6" fillId="0" borderId="8" pivotButton="0" quotePrefix="0" xfId="0"/>
    <xf numFmtId="0" fontId="7" fillId="0" borderId="0" pivotButton="0" quotePrefix="0" xfId="0"/>
    <xf numFmtId="164" fontId="7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3" fillId="2" borderId="8" pivotButton="0" quotePrefix="0" xfId="0"/>
    <xf numFmtId="0" fontId="5" fillId="0" borderId="8" applyAlignment="1" pivotButton="0" quotePrefix="0" xfId="0">
      <alignment wrapText="1"/>
    </xf>
    <xf numFmtId="0" fontId="6" fillId="3" borderId="8" pivotButton="0" quotePrefix="0" xfId="0"/>
    <xf numFmtId="0" fontId="6" fillId="0" borderId="8" applyAlignment="1" pivotButton="0" quotePrefix="0" xfId="0">
      <alignment wrapText="1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8" fillId="0" borderId="8" applyAlignment="1" pivotButton="0" quotePrefix="0" xfId="0">
      <alignment horizontal="center"/>
    </xf>
    <xf numFmtId="165" fontId="5" fillId="0" borderId="8" pivotButton="0" quotePrefix="0" xfId="0"/>
    <xf numFmtId="165" fontId="6" fillId="0" borderId="8" pivotButton="0" quotePrefix="0" xfId="0"/>
    <xf numFmtId="0" fontId="10" fillId="0" borderId="8" applyAlignment="1" pivotButton="0" quotePrefix="0" xfId="0">
      <alignment horizontal="right"/>
    </xf>
    <xf numFmtId="165" fontId="8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11" fillId="0" borderId="8" applyAlignment="1" pivotButton="0" quotePrefix="0" xfId="0">
      <alignment wrapText="1"/>
    </xf>
    <xf numFmtId="0" fontId="12" fillId="0" borderId="8" applyAlignment="1" pivotButton="0" quotePrefix="0" xfId="0">
      <alignment wrapText="1"/>
    </xf>
    <xf numFmtId="0" fontId="13" fillId="4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2"/>
  <sheetViews>
    <sheetView workbookViewId="0">
      <selection activeCell="A1" sqref="A1"/>
    </sheetView>
  </sheetViews>
  <sheetFormatPr baseColWidth="8" defaultColWidth="14.43" defaultRowHeight="15" customHeight="1"/>
  <cols>
    <col width="19.29" customWidth="1" style="28" min="1" max="1"/>
    <col width="29.29" customWidth="1" style="28" min="2" max="2"/>
    <col width="10.71" customWidth="1" style="28" min="3" max="3"/>
    <col width="24.14" customWidth="1" style="28" min="4" max="4"/>
    <col width="23.86" customWidth="1" style="28" min="5" max="5"/>
    <col width="12.71" customWidth="1" style="28" min="6" max="11"/>
  </cols>
  <sheetData>
    <row r="1" ht="51.75" customHeight="1" s="28">
      <c r="A1" s="29" t="e">
        <v>#VALUE!</v>
      </c>
      <c r="B1" s="30" t="n"/>
      <c r="C1" s="29" t="e">
        <v>#VALUE!</v>
      </c>
      <c r="D1" s="31" t="n"/>
      <c r="E1" s="30" t="n"/>
    </row>
    <row r="2" ht="19.5" customHeight="1" s="28">
      <c r="A2" s="32" t="n"/>
      <c r="B2" s="33" t="n"/>
      <c r="C2" s="32" t="n"/>
      <c r="D2" s="34" t="n"/>
      <c r="E2" s="33" t="n"/>
    </row>
    <row r="3" ht="25.5" customHeight="1" s="28">
      <c r="A3" s="7" t="inlineStr">
        <is>
          <t>Nombre del proyecto</t>
        </is>
      </c>
      <c r="B3" s="35" t="inlineStr">
        <is>
          <t>AeroBio Estrella: Teledetección Atmosférica Multivariable y Validación de Siembra Aérea para la Conservación del Municipio Verde</t>
        </is>
      </c>
      <c r="C3" s="34" t="n"/>
      <c r="D3" s="34" t="n"/>
      <c r="E3" s="33" t="n"/>
    </row>
    <row r="4" ht="27" customHeight="1" s="28">
      <c r="A4" s="9" t="inlineStr">
        <is>
          <t>Nombre del lider del proyecto</t>
        </is>
      </c>
      <c r="B4" s="36" t="inlineStr">
        <is>
          <t>[Por definir al cierre de selección - Joven líder del proyecto, Semillero PDA - IEJAGA]</t>
        </is>
      </c>
      <c r="C4" s="37" t="n"/>
      <c r="D4" s="37" t="n"/>
      <c r="E4" s="38" t="n"/>
    </row>
    <row r="5" ht="27.75" customHeight="1" s="28">
      <c r="A5" s="13" t="inlineStr">
        <is>
          <t>Nombre del grupo 
ambiental juvenil.</t>
        </is>
      </c>
      <c r="B5" s="39" t="inlineStr">
        <is>
          <t>Semillero PDA (PDA Rocketeers / PDA Club) — Institución Educativa José Antonio Galán</t>
        </is>
      </c>
      <c r="C5" s="37" t="n"/>
      <c r="D5" s="37" t="n"/>
      <c r="E5" s="38" t="n"/>
    </row>
    <row r="6" ht="15.75" customHeight="1" s="28">
      <c r="A6" s="14" t="n"/>
    </row>
    <row r="7" ht="15.75" customHeight="1" s="28">
      <c r="A7" s="15" t="inlineStr">
        <is>
          <t xml:space="preserve">CONCEPTO </t>
        </is>
      </c>
      <c r="B7" s="15" t="inlineStr">
        <is>
          <t xml:space="preserve">DESCRIPCIÓN </t>
        </is>
      </c>
      <c r="C7" s="15" t="inlineStr">
        <is>
          <t>CANT</t>
        </is>
      </c>
      <c r="D7" s="15" t="inlineStr">
        <is>
          <t>VALOR UNITARIO (COP)</t>
        </is>
      </c>
      <c r="E7" s="15" t="inlineStr">
        <is>
          <t>VALOR TOTAL (COP)</t>
        </is>
      </c>
    </row>
    <row r="8" ht="15.75" customHeight="1" s="28">
      <c r="A8" s="16" t="inlineStr">
        <is>
          <t>Materiales e insumos</t>
        </is>
      </c>
      <c r="B8" s="17" t="inlineStr">
        <is>
          <t>Sensores de precisión para calidad del aire (PMS5003 material particulado PM2.5/PM10, BME280 temperatura/humedad/presión barométrica, MQ-135 gases)</t>
        </is>
      </c>
      <c r="C8" s="17" t="n">
        <v>4</v>
      </c>
      <c r="D8" s="40" t="n">
        <v>320000</v>
      </c>
      <c r="E8" s="40">
        <f>C8*D8</f>
        <v/>
      </c>
    </row>
    <row r="9" ht="15.75" customHeight="1" s="28">
      <c r="A9" s="16" t="inlineStr">
        <is>
          <t>Materiales e insumos</t>
        </is>
      </c>
      <c r="B9" s="16" t="inlineStr">
        <is>
          <t>Módulos de aviónica y telemetría (Microcontroladores ESP32, transceptores LoRa 915 MHz, antenas de alta ganancia y módulos microSD para caja negra)</t>
        </is>
      </c>
      <c r="C9" s="16" t="n">
        <v>4</v>
      </c>
      <c r="D9" s="41" t="n">
        <v>180000</v>
      </c>
      <c r="E9" s="41">
        <f>C9*D9</f>
        <v/>
      </c>
    </row>
    <row r="10" ht="15.75" customHeight="1" s="28">
      <c r="A10" s="16" t="inlineStr">
        <is>
          <t>Materiales e insumos</t>
        </is>
      </c>
      <c r="B10" s="16" t="inlineStr">
        <is>
          <t>Plataforma aerostática cautiva limpia de emisiones (Globo de látex de alta resistencia 350g, gas helio comprimido grado técnico y válvula reguladora de inflado)</t>
        </is>
      </c>
      <c r="C10" s="16" t="n">
        <v>1</v>
      </c>
      <c r="D10" s="41" t="n">
        <v>2600000</v>
      </c>
      <c r="E10" s="41">
        <f>C10*D10</f>
        <v/>
      </c>
    </row>
    <row r="11" ht="15.75" customHeight="1" s="28">
      <c r="A11" s="16" t="inlineStr">
        <is>
          <t>Materiales e insumos</t>
        </is>
      </c>
      <c r="B11" s="16" t="inlineStr">
        <is>
          <t>Componentes aerodinámicos de cohete sonda (Fuselajes Kraft/fibra, ogiva, aletas de balsa/G10, paracaídas de ripstop y líneas de suspensión)</t>
        </is>
      </c>
      <c r="C11" s="16" t="n">
        <v>1</v>
      </c>
      <c r="D11" s="41" t="n">
        <v>1600000</v>
      </c>
      <c r="E11" s="41">
        <f>C11*D11</f>
        <v/>
      </c>
    </row>
    <row r="12" ht="15.75" customHeight="1" s="28">
      <c r="A12" s="16" t="inlineStr">
        <is>
          <t>Materiales e insumos</t>
        </is>
      </c>
      <c r="B12" s="16" t="inlineStr">
        <is>
          <t>Motores de propelente sólido certificados para cohetería educativa (Estándar normativo Tripoli Rocketry Association / CCCD)</t>
        </is>
      </c>
      <c r="C12" s="16" t="n">
        <v>1</v>
      </c>
      <c r="D12" s="41" t="n">
        <v>1400000</v>
      </c>
      <c r="E12" s="41">
        <f>C12*D12</f>
        <v/>
      </c>
    </row>
    <row r="13" ht="15.75" customHeight="1" s="28">
      <c r="A13" s="16" t="inlineStr">
        <is>
          <t>Materiales e insumos</t>
        </is>
      </c>
      <c r="B13" s="16" t="inlineStr">
        <is>
          <t>Insumos de bio-cápsula y semillas nativas (Semillas de flora altoandina de El Romeral: Chagualo, Yarumo, Amarrabollo, Guayacán; arcilla para peletizado nendo dango y filamento PETG)</t>
        </is>
      </c>
      <c r="C13" s="16" t="n">
        <v>1</v>
      </c>
      <c r="D13" s="41" t="n">
        <v>1100000</v>
      </c>
      <c r="E13" s="41">
        <f>C13*D13</f>
        <v/>
      </c>
    </row>
    <row r="14" ht="15.75" customHeight="1" s="28">
      <c r="A14" s="16" t="inlineStr">
        <is>
          <t>Equipamiento</t>
        </is>
      </c>
      <c r="B14" s="16" t="inlineStr">
        <is>
          <t>Equipamiento para laboratorio escolar de germinación en ambiente controlado (Bandejas de germinación estandarizadas, sustratos estériles, termohigrómetro digital, medidor de pH/luz y lupa digital USB para conteo radicular)</t>
        </is>
      </c>
      <c r="C14" s="16" t="n">
        <v>1</v>
      </c>
      <c r="D14" s="41" t="n">
        <v>1500000</v>
      </c>
      <c r="E14" s="41">
        <f>C14*D14</f>
        <v/>
      </c>
    </row>
    <row r="15" ht="15.75" customHeight="1" s="28">
      <c r="A15" s="16" t="inlineStr">
        <is>
          <t>Equipamiento</t>
        </is>
      </c>
      <c r="B15" s="16" t="inlineStr">
        <is>
          <t>Sistema de alimentación y telemetría de campo (Baterías LiPo recargables de alta densidad, cargador balanceador inteligente y receptor USB LoRa para PC de estación terrena)</t>
        </is>
      </c>
      <c r="C15" s="16" t="n">
        <v>1</v>
      </c>
      <c r="D15" s="41" t="n">
        <v>900000</v>
      </c>
      <c r="E15" s="41">
        <f>C15*D15</f>
        <v/>
      </c>
    </row>
    <row r="16" ht="15.75" customHeight="1" s="28">
      <c r="A16" s="16" t="inlineStr">
        <is>
          <t>Eventos y comunicación</t>
        </is>
      </c>
      <c r="B16" s="16" t="inlineStr">
        <is>
          <t>Materiales de divulgación científica y educación ambiental (Cartillas de registro experimental para estudiantes, pendón institucional de ciencia ciudadana y talleres de socialización)</t>
        </is>
      </c>
      <c r="C16" s="16" t="n">
        <v>1</v>
      </c>
      <c r="D16" s="41" t="n">
        <v>900000</v>
      </c>
      <c r="E16" s="41">
        <f>C16*D16</f>
        <v/>
      </c>
    </row>
    <row r="17" ht="15.75" customHeight="1" s="28">
      <c r="A17" s="16" t="n"/>
      <c r="B17" s="16" t="n"/>
      <c r="C17" s="16" t="n"/>
      <c r="D17" s="42" t="inlineStr">
        <is>
          <t>TOTAL (COP)</t>
        </is>
      </c>
      <c r="E17" s="43">
        <f>SUM(E8:E16)</f>
        <v/>
      </c>
    </row>
    <row r="18" ht="15.75" customHeight="1" s="28">
      <c r="A18" s="16" t="n"/>
      <c r="B18" s="16" t="n"/>
      <c r="C18" s="16" t="n"/>
      <c r="D18" s="16" t="n"/>
      <c r="E18" s="19">
        <f>C18*D18</f>
        <v/>
      </c>
    </row>
    <row r="19" ht="15.75" customHeight="1" s="28">
      <c r="A19" s="16" t="n"/>
      <c r="B19" s="16" t="n"/>
      <c r="C19" s="16" t="n"/>
      <c r="D19" s="16" t="n"/>
      <c r="E19" s="19">
        <f>C19*D19</f>
        <v/>
      </c>
    </row>
    <row r="20" ht="15.75" customHeight="1" s="28">
      <c r="A20" s="16" t="n"/>
      <c r="B20" s="16" t="n"/>
      <c r="C20" s="16" t="n"/>
      <c r="D20" s="16" t="n"/>
      <c r="E20" s="19">
        <f>C20*D20</f>
        <v/>
      </c>
    </row>
    <row r="21" ht="15.75" customHeight="1" s="28">
      <c r="A21" s="16" t="n"/>
      <c r="B21" s="16" t="n"/>
      <c r="C21" s="16" t="n"/>
      <c r="D21" s="16" t="n"/>
      <c r="E21" s="19">
        <f>C21*D21</f>
        <v/>
      </c>
    </row>
    <row r="22" ht="15.75" customHeight="1" s="28">
      <c r="D22" s="20" t="inlineStr">
        <is>
          <t xml:space="preserve">TOTAL </t>
        </is>
      </c>
      <c r="E22" s="21">
        <f>SUM(E3:E8)</f>
        <v/>
      </c>
    </row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</sheetData>
  <mergeCells count="5">
    <mergeCell ref="B4:E4"/>
    <mergeCell ref="B3:E3"/>
    <mergeCell ref="B5:E5"/>
    <mergeCell ref="A1:B2"/>
    <mergeCell ref="C1:E2"/>
  </mergeCells>
  <dataValidations count="1">
    <dataValidation sqref="A8:A21" showDropDown="0" showInputMessage="0" showErrorMessage="1" allowBlank="1" type="list">
      <formula1>"Materiales e insumos,Alquiler,Compra de Equipos,Refrigerios,Honorarios,Eventos,Desarrollo tecnológico,Diseño y comunicaciones,Mejora en infraestructura,Administracion,Imprevistos,Otros"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8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28" min="1" max="1"/>
    <col width="27.29" customWidth="1" style="28" min="2" max="2"/>
    <col width="7.14" customWidth="1" style="28" min="3" max="3"/>
    <col width="7.29" customWidth="1" style="28" min="4" max="4"/>
    <col width="7.43" customWidth="1" style="28" min="5" max="5"/>
    <col width="7.71" customWidth="1" style="28" min="6" max="6"/>
    <col width="7.29" customWidth="1" style="28" min="7" max="7"/>
    <col width="12.71" customWidth="1" style="28" min="8" max="11"/>
  </cols>
  <sheetData>
    <row r="1" ht="15.75" customHeight="1" s="28">
      <c r="A1" s="29" t="e">
        <v>#VALUE!</v>
      </c>
      <c r="B1" s="30" t="n"/>
      <c r="C1" s="29" t="e">
        <v>#VALUE!</v>
      </c>
      <c r="D1" s="31" t="n"/>
      <c r="E1" s="31" t="n"/>
      <c r="F1" s="31" t="n"/>
      <c r="G1" s="30" t="n"/>
    </row>
    <row r="2" ht="15.75" customHeight="1" s="28">
      <c r="A2" s="44" t="n"/>
      <c r="B2" s="45" t="n"/>
      <c r="C2" s="44" t="n"/>
      <c r="G2" s="45" t="n"/>
    </row>
    <row r="3" ht="15.75" customHeight="1" s="28">
      <c r="A3" s="32" t="n"/>
      <c r="B3" s="33" t="n"/>
      <c r="C3" s="32" t="n"/>
      <c r="D3" s="34" t="n"/>
      <c r="E3" s="34" t="n"/>
      <c r="F3" s="34" t="n"/>
      <c r="G3" s="33" t="n"/>
    </row>
    <row r="4" ht="15.75" customHeight="1" s="28"/>
    <row r="5" ht="15.75" customHeight="1" s="28">
      <c r="A5" s="24" t="inlineStr">
        <is>
          <t>ACTIVIDADES</t>
        </is>
      </c>
      <c r="B5" s="24" t="inlineStr">
        <is>
          <t>DESCRIPCIÓN</t>
        </is>
      </c>
      <c r="C5" s="24" t="inlineStr">
        <is>
          <t>MES 1 (Nov 2026)</t>
        </is>
      </c>
      <c r="D5" s="24" t="inlineStr">
        <is>
          <t>MES 2 (Dic 2026)</t>
        </is>
      </c>
      <c r="E5" s="24" t="inlineStr">
        <is>
          <t>MES 3 (Ene-Feb 2027)</t>
        </is>
      </c>
      <c r="F5" s="24" t="inlineStr">
        <is>
          <t>MES 4 (Feb-Mar 2027)</t>
        </is>
      </c>
      <c r="G5" s="24" t="inlineStr">
        <is>
          <t>MES 5 (Abr 2027)</t>
        </is>
      </c>
    </row>
    <row r="6" ht="44.25" customHeight="1" s="28">
      <c r="A6" s="46" t="inlineStr">
        <is>
          <t>Fase 1: Alistamiento e Integración Técnica</t>
        </is>
      </c>
      <c r="B6" s="47" t="inlineStr">
        <is>
          <t>Adquisición de sensores, componentes electrónicos, insumos aeroespaciales y materiales de peletizado. Talleres de formación juvenil en programación de telemetría LoRa 915 MHz, diseño 3D de la bio-cápsula y técnicas de peletizado higroscópico de semillas nativas.</t>
        </is>
      </c>
      <c r="C6" s="48" t="inlineStr">
        <is>
          <t>X</t>
        </is>
      </c>
      <c r="D6" s="49" t="inlineStr"/>
      <c r="E6" s="49" t="inlineStr"/>
      <c r="F6" s="49" t="inlineStr"/>
      <c r="G6" s="49" t="inlineStr"/>
    </row>
    <row r="7" ht="46.5" customHeight="1" s="28">
      <c r="A7" s="46" t="inlineStr">
        <is>
          <t>Fase 2: Calibración con SIATA y Ensayos de Banco</t>
        </is>
      </c>
      <c r="B7" s="47" t="inlineStr">
        <is>
          <t>Jornada de co-localización y calibración de los sensores de calidad de aire con la red de referencia de Ciudadanos Científicos del SIATA. Pruebas mecánicas de banco, paracaídas de descenso suave y sellado de la bio-cápsula.</t>
        </is>
      </c>
      <c r="C7" s="49" t="inlineStr"/>
      <c r="D7" s="48" t="inlineStr">
        <is>
          <t>X</t>
        </is>
      </c>
      <c r="E7" s="49" t="inlineStr"/>
      <c r="F7" s="49" t="inlineStr"/>
      <c r="G7" s="49" t="inlineStr"/>
    </row>
    <row r="8" ht="15.75" customHeight="1" s="28">
      <c r="A8" s="46" t="inlineStr">
        <is>
          <t>Fase 3: Campaña de Medición Aérea y Ensayo de Vuelo</t>
        </is>
      </c>
      <c r="B8" s="47" t="inlineStr">
        <is>
          <t>Elevación de la plataforma aerostática cautiva para registro continuo del perfil vertical de PM2.5/PM10, gases y fotogrametría del dosel boscoso. Lanzamiento del cohete sonda con telemetría barométrica y eyección de la bio-cápsula con semillas peletizadas.</t>
        </is>
      </c>
      <c r="C8" s="49" t="inlineStr"/>
      <c r="D8" s="49" t="inlineStr"/>
      <c r="E8" s="48" t="inlineStr">
        <is>
          <t>X</t>
        </is>
      </c>
      <c r="F8" s="49" t="inlineStr"/>
      <c r="G8" s="49" t="inlineStr"/>
    </row>
    <row r="9" ht="15.75" customHeight="1" s="28">
      <c r="A9" s="46" t="inlineStr">
        <is>
          <t>Fase 4: Análisis en Ambiente Controlado (Laboratorio)</t>
        </is>
      </c>
      <c r="B9" s="47" t="inlineStr">
        <is>
          <t>Montaje del experimento biológico en el laboratorio escolar de la IEJAGA: lote experimental (sometido a estrés de vuelo) vs. lote de control terrestre, simulando el régimen de temperatura y humedad medido en la ladera. Registro biométrico diario de germinación y vigor.</t>
        </is>
      </c>
      <c r="C9" s="49" t="inlineStr"/>
      <c r="D9" s="49" t="inlineStr"/>
      <c r="E9" s="49" t="inlineStr"/>
      <c r="F9" s="48" t="inlineStr">
        <is>
          <t>X</t>
        </is>
      </c>
      <c r="G9" s="49" t="inlineStr"/>
    </row>
    <row r="10" ht="15.75" customHeight="1" s="28">
      <c r="A10" s="46" t="inlineStr">
        <is>
          <t>Fase 5: Sistematización, Datos Abiertos y Socialización</t>
        </is>
      </c>
      <c r="B10" s="47" t="inlineStr">
        <is>
          <t>Consolidación del dataset de calidad de aire en plataforma abierta, redacción del protocolo técnico transferible de siembra aérea, entrega del informe final a la Secretaría de Medio Ambiente e ICLEI, y jornada de socialización comunitaria.</t>
        </is>
      </c>
      <c r="C10" s="49" t="inlineStr"/>
      <c r="D10" s="49" t="inlineStr"/>
      <c r="E10" s="49" t="inlineStr"/>
      <c r="F10" s="49" t="inlineStr"/>
      <c r="G10" s="48" t="inlineStr">
        <is>
          <t>X</t>
        </is>
      </c>
    </row>
    <row r="11" ht="15.75" customHeight="1" s="28">
      <c r="A11" s="27" t="n"/>
      <c r="B11" s="27" t="n"/>
      <c r="C11" s="16" t="n"/>
      <c r="D11" s="16" t="n"/>
      <c r="E11" s="16" t="n"/>
      <c r="F11" s="16" t="n"/>
      <c r="G11" s="16" t="n"/>
    </row>
    <row r="12" ht="15.75" customHeight="1" s="28">
      <c r="A12" s="27" t="n"/>
      <c r="B12" s="27" t="n"/>
      <c r="C12" s="16" t="n"/>
      <c r="D12" s="16" t="n"/>
      <c r="E12" s="16" t="n"/>
      <c r="F12" s="16" t="n"/>
      <c r="G12" s="16" t="n"/>
    </row>
    <row r="13" ht="15.75" customHeight="1" s="28">
      <c r="A13" s="27" t="n"/>
      <c r="B13" s="27" t="n"/>
      <c r="C13" s="16" t="n"/>
      <c r="D13" s="16" t="n"/>
      <c r="E13" s="16" t="n"/>
      <c r="F13" s="16" t="n"/>
      <c r="G13" s="16" t="n"/>
    </row>
    <row r="14" ht="15.75" customHeight="1" s="28">
      <c r="A14" s="27" t="n"/>
      <c r="B14" s="27" t="n"/>
      <c r="C14" s="16" t="n"/>
      <c r="D14" s="16" t="n"/>
      <c r="E14" s="16" t="n"/>
      <c r="F14" s="16" t="n"/>
      <c r="G14" s="16" t="n"/>
    </row>
    <row r="15" ht="15.75" customHeight="1" s="28">
      <c r="A15" s="27" t="n"/>
      <c r="B15" s="27" t="n"/>
      <c r="C15" s="16" t="n"/>
      <c r="D15" s="16" t="n"/>
      <c r="E15" s="16" t="n"/>
      <c r="F15" s="16" t="n"/>
      <c r="G15" s="16" t="n"/>
    </row>
    <row r="16" ht="15.75" customHeight="1" s="28">
      <c r="A16" s="27" t="n"/>
      <c r="B16" s="27" t="n"/>
      <c r="C16" s="16" t="n"/>
      <c r="D16" s="16" t="n"/>
      <c r="E16" s="16" t="n"/>
      <c r="F16" s="16" t="n"/>
      <c r="G16" s="16" t="n"/>
    </row>
    <row r="17" ht="15.75" customHeight="1" s="28">
      <c r="A17" s="27" t="n"/>
      <c r="B17" s="27" t="n"/>
      <c r="C17" s="16" t="n"/>
      <c r="D17" s="16" t="n"/>
      <c r="E17" s="16" t="n"/>
      <c r="F17" s="16" t="n"/>
      <c r="G17" s="16" t="n"/>
    </row>
    <row r="18" ht="15.75" customHeight="1" s="28">
      <c r="A18" s="27" t="n"/>
      <c r="B18" s="27" t="n"/>
      <c r="C18" s="16" t="n"/>
      <c r="D18" s="16" t="n"/>
      <c r="E18" s="16" t="n"/>
      <c r="F18" s="16" t="n"/>
      <c r="G18" s="16" t="n"/>
    </row>
    <row r="19" ht="15.75" customHeight="1" s="28"/>
    <row r="20" ht="15.75" customHeight="1" s="28"/>
    <row r="21" ht="15.75" customHeight="1" s="28"/>
    <row r="22" ht="15.75" customHeight="1" s="28"/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</sheetData>
  <mergeCells count="2">
    <mergeCell ref="A1:B3"/>
    <mergeCell ref="C1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MANUELA</dc:creator>
  <dcterms:created xmlns:dcterms="http://purl.org/dc/terms/" xmlns:xsi="http://www.w3.org/2001/XMLSchema-instance" xsi:type="dcterms:W3CDTF">2026-07-17T20:35:45Z</dcterms:created>
  <dcterms:modified xmlns:dcterms="http://purl.org/dc/terms/" xmlns:xsi="http://www.w3.org/2001/XMLSchema-instance" xsi:type="dcterms:W3CDTF">2026-09-10T14:41:32Z</dcterms:modified>
</cp:coreProperties>
</file>