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xr:revisionPtr revIDLastSave="0" documentId="13_ncr:1_{75A89665-AB89-4355-873C-666E157022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UPUESTO" sheetId="1" r:id="rId1"/>
    <sheet name="CRONOGRAMA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6" i="1"/>
  <c r="E15" i="1"/>
  <c r="E14" i="1"/>
  <c r="E13" i="1"/>
  <c r="E12" i="1"/>
  <c r="E11" i="1"/>
  <c r="E10" i="1"/>
  <c r="E9" i="1"/>
  <c r="E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<sst xmlns="http://schemas.openxmlformats.org/spreadsheetml/2006/main" count="43" uniqueCount="36">
  <si>
    <t>Nombre del proyecto</t>
  </si>
  <si>
    <t>Nombre del lider del proyecto</t>
  </si>
  <si>
    <t>Nombre del grupo 
ambiental juvenil.</t>
  </si>
  <si>
    <t xml:space="preserve">CONCEPTO </t>
  </si>
  <si>
    <t xml:space="preserve">DESCRIPCIÓN </t>
  </si>
  <si>
    <t>CANT</t>
  </si>
  <si>
    <t>VALOR UNITARIO (COP)</t>
  </si>
  <si>
    <t>VALOR TOTAL (COP)</t>
  </si>
  <si>
    <t>Materiales e insumos</t>
  </si>
  <si>
    <t xml:space="preserve">TOTAL </t>
  </si>
  <si>
    <t xml:space="preserve">ACTIVIDADES </t>
  </si>
  <si>
    <t>Santiago Saldarriaga Cardona</t>
  </si>
  <si>
    <t>Semillero PDA CLUB - institución Educativa José Antonio Galán</t>
  </si>
  <si>
    <t>Compra de Equipos</t>
  </si>
  <si>
    <t>Diseño y comunicaciones</t>
  </si>
  <si>
    <t>Sensores de precisión para calidad del aire (PMS5003 material particulado PM2.5/PM10, BME280 temperatura/humedad/presión barométrica, MQ-135 gases)</t>
  </si>
  <si>
    <t>Módulos de aviónica y telemetría (Microcontroladores ESP32, transceptores LoRa 915 MHz, antenas de alta ganancia y módulos microSD para caja negra)</t>
  </si>
  <si>
    <t>Plataforma aerostática cautiva limpia de emisiones (Globo de látex de alta resistencia 350g, gas helio comprimido grado técnico y válvula reguladora de inflado)</t>
  </si>
  <si>
    <t>Componentes aerodinámicos de cohete sonda (Fuselajes Kraft/fibra, ogiva, aletas de balsa/G10, paracaídas de ripstop y líneas de suspensión)</t>
  </si>
  <si>
    <t>Motores de propelente sólido certificados para cohetería educativa (Estándar normativo Tripoli Rocketry Association / CCCD)</t>
  </si>
  <si>
    <t>Insumos de bio-cápsula y semillas nativas (Semillas de flora altoandina de El Romeral: Chagualo, Yarumo, Amarrabollo, Guayacán; arcilla para peletizado nendo dango y filamento PETG)</t>
  </si>
  <si>
    <t>Equipamiento para laboratorio escolar de germinación en ambiente controlado (Bandejas de germinación estandarizadas, sustratos estériles, termohigrómetro digital, medidor de pH/luz y lupa digital USB para conteo radicular)</t>
  </si>
  <si>
    <t>Sistema de alimentación y telemetría de campo (Baterías LiPo recargables de alta densidad, cargador balanceador inteligente y receptor USB LoRa para PC de estación terrena)</t>
  </si>
  <si>
    <t>Materiales de divulgación científica y educación ambiental (Cartillas de registro experimental para estudiantes, pendón institucional de ciencia ciudadana y talleres de socialización)</t>
  </si>
  <si>
    <t>Adquisición de componentes electrónicos, sensores y materiales aeroespaciales. Sesión formativa juvenil en programación de microcontroladores ESP32, telemetría LoRa 915 MHz, diseño 3D de la bio-cápsula y formulación de pellets de arcilla con semillas nativas.</t>
  </si>
  <si>
    <t>Colocalización de sensores en tierra junto a estaciones del SIATA para validación y correlación (R²). Pruebas de banco de eyección, despliegue del paracaídas y hermeticidad de la cápsula biológica.</t>
  </si>
  <si>
    <t>Despliegue de la plataforma aerostática cautiva para registro de perfiles de PM2.5/PM10, temperatura y humedad, y fotogrametría del dosel. Lanzamiento del cohete sonda portando la bio-cápsula de semillas peletizadas sometidas a dinámica de eyección.</t>
  </si>
  <si>
    <t>Montaje de ensayos de germinación en el laboratorio de la IEJAGA: lote experimental (sometido a vuelo) vs. lote de control terrestre, simulando el régimen de temperatura y humedad medido en la ladera. Registro diario de porcentaje de germinación, velocidad de emergencia y vigor radicular</t>
  </si>
  <si>
    <t xml:space="preserve"> Publicación del dataset de calidad del aire, elaboración del protocolo técnico de siembra aérea transferible a la Secretaría de Medio Ambiente e ICLEI, y socialización institucional.</t>
  </si>
  <si>
    <r>
      <t>Imagen+A1:G8A10A1:G10A1:G10A10A1:G10A1:GA1:G10</t>
    </r>
    <r>
      <rPr>
        <sz val="10"/>
        <color rgb="FF000000"/>
        <rFont val="Arial"/>
        <family val="2"/>
        <scheme val="minor"/>
      </rPr>
      <t>+A1:G10</t>
    </r>
  </si>
  <si>
    <r>
      <rPr>
        <b/>
        <sz val="10"/>
        <rFont val="Arial"/>
        <family val="2"/>
        <scheme val="minor"/>
      </rPr>
      <t>Fase 5:</t>
    </r>
    <r>
      <rPr>
        <sz val="10"/>
        <rFont val="Arial"/>
        <family val="2"/>
        <scheme val="minor"/>
      </rPr>
      <t xml:space="preserve"> Sistematización y Socialización</t>
    </r>
  </si>
  <si>
    <r>
      <rPr>
        <b/>
        <sz val="10"/>
        <color rgb="FF000000"/>
        <rFont val="Arial"/>
        <family val="2"/>
        <scheme val="minor"/>
      </rPr>
      <t xml:space="preserve">Fase 4: </t>
    </r>
    <r>
      <rPr>
        <sz val="10"/>
        <color rgb="FF000000"/>
        <rFont val="Arial"/>
        <family val="2"/>
        <scheme val="minor"/>
      </rPr>
      <t xml:space="preserve">Análisis en Ambiente Controlado y Laboratorio </t>
    </r>
  </si>
  <si>
    <r>
      <rPr>
        <b/>
        <sz val="10"/>
        <color rgb="FF000000"/>
        <rFont val="Arial"/>
        <family val="2"/>
        <scheme val="minor"/>
      </rPr>
      <t>Fase 3:</t>
    </r>
    <r>
      <rPr>
        <sz val="10"/>
        <color rgb="FF000000"/>
        <rFont val="Arial"/>
        <family val="2"/>
        <scheme val="minor"/>
      </rPr>
      <t xml:space="preserve"> Campaña de Medición Aérea y Ensayo de Vuelo </t>
    </r>
  </si>
  <si>
    <r>
      <rPr>
        <b/>
        <sz val="10"/>
        <rFont val="Arial"/>
        <family val="2"/>
        <scheme val="minor"/>
      </rPr>
      <t>Fase 2:</t>
    </r>
    <r>
      <rPr>
        <sz val="10"/>
        <rFont val="Arial"/>
        <family val="2"/>
        <scheme val="minor"/>
      </rPr>
      <t xml:space="preserve"> Calibración con SIATA y Ensayos de Tierra </t>
    </r>
  </si>
  <si>
    <r>
      <rPr>
        <b/>
        <sz val="10"/>
        <rFont val="Arial"/>
        <family val="2"/>
        <scheme val="minor"/>
      </rPr>
      <t>Fase 1:</t>
    </r>
    <r>
      <rPr>
        <sz val="10"/>
        <rFont val="Arial"/>
        <family val="2"/>
        <scheme val="minor"/>
      </rPr>
      <t xml:space="preserve"> Alistamiento e Integración Técnica </t>
    </r>
  </si>
  <si>
    <t>AeroBio PDA: Teledetección Atmosférica Multivariable y Validación de Siembra Aérea para la Conservación del Municipio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</si>
</sst>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FF0000"/>
      <name val="Arial"/>
      <scheme val="minor"/>
    </font>
    <font>
      <sz val="10"/>
      <color theme="1"/>
      <name val="Arial"/>
      <scheme val="minor"/>
    </font>
    <font>
      <b/>
      <sz val="15"/>
      <color theme="1"/>
      <name val="Arial"/>
      <scheme val="minor"/>
    </font>
    <font>
      <b/>
      <sz val="10"/>
      <name val="Arial"/>
      <family val="2"/>
      <scheme val="minor"/>
    </font>
    <font>
      <sz val="10"/>
      <color rgb="FF000000"/>
      <name val="Arial"/>
    </font>
    <font>
      <sz val="1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FFF2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vertical="center"/>
    </xf>
    <xf numFmtId="165" fontId="8" fillId="0" borderId="4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vertical="center"/>
    </xf>
    <xf numFmtId="0" fontId="4" fillId="0" borderId="3" xfId="0" applyFont="1" applyBorder="1"/>
    <xf numFmtId="165" fontId="4" fillId="0" borderId="3" xfId="0" applyNumberFormat="1" applyFont="1" applyBorder="1"/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7" fillId="0" borderId="3" xfId="0" applyFont="1" applyBorder="1"/>
    <xf numFmtId="0" fontId="7" fillId="3" borderId="3" xfId="0" applyFont="1" applyFill="1" applyBorder="1"/>
    <xf numFmtId="0" fontId="7" fillId="4" borderId="3" xfId="0" applyFont="1" applyFill="1" applyBorder="1"/>
    <xf numFmtId="0" fontId="7" fillId="5" borderId="3" xfId="0" applyFont="1" applyFill="1" applyBorder="1"/>
    <xf numFmtId="0" fontId="7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17" fontId="11" fillId="2" borderId="3" xfId="0" applyNumberFormat="1" applyFont="1" applyFill="1" applyBorder="1" applyAlignment="1">
      <alignment horizontal="center" vertical="center"/>
    </xf>
    <xf numFmtId="17" fontId="1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G6" sqref="G6"/>
    </sheetView>
  </sheetViews>
  <sheetFormatPr baseColWidth="10" defaultColWidth="12.6640625" defaultRowHeight="13.2" x14ac:dyDescent="0.25"/>
  <cols>
    <col min="1" max="1" width="22.21875" bestFit="1" customWidth="1"/>
    <col min="2" max="2" width="40.21875" customWidth="1"/>
    <col min="3" max="3" width="10.6640625" customWidth="1"/>
    <col min="4" max="4" width="24.109375" customWidth="1"/>
    <col min="5" max="5" width="23.88671875" customWidth="1"/>
  </cols>
  <sheetData>
    <row r="1" spans="1:5" x14ac:dyDescent="0.25">
      <c r="A1" s="6" t="e" vm="1">
        <v>#VALUE!</v>
      </c>
      <c r="B1" s="6"/>
      <c r="C1" s="6" t="e" vm="2">
        <v>#VALUE!</v>
      </c>
      <c r="D1" s="6"/>
      <c r="E1" s="6"/>
    </row>
    <row r="2" spans="1:5" x14ac:dyDescent="0.25">
      <c r="A2" s="6"/>
      <c r="B2" s="6"/>
      <c r="C2" s="6"/>
      <c r="D2" s="6"/>
      <c r="E2" s="6"/>
    </row>
    <row r="3" spans="1:5" x14ac:dyDescent="0.25">
      <c r="A3" s="5" t="s">
        <v>0</v>
      </c>
      <c r="B3" s="8" t="s">
        <v>35</v>
      </c>
      <c r="C3" s="8"/>
      <c r="D3" s="8"/>
      <c r="E3" s="8"/>
    </row>
    <row r="4" spans="1:5" ht="26.4" x14ac:dyDescent="0.25">
      <c r="A4" s="3" t="s">
        <v>1</v>
      </c>
      <c r="B4" s="7" t="s">
        <v>11</v>
      </c>
      <c r="C4" s="7"/>
      <c r="D4" s="7"/>
      <c r="E4" s="7"/>
    </row>
    <row r="5" spans="1:5" ht="26.4" x14ac:dyDescent="0.25">
      <c r="A5" s="4" t="s">
        <v>2</v>
      </c>
      <c r="B5" s="7" t="s">
        <v>12</v>
      </c>
      <c r="C5" s="7"/>
      <c r="D5" s="7"/>
      <c r="E5" s="7"/>
    </row>
    <row r="6" spans="1:5" x14ac:dyDescent="0.25">
      <c r="A6" s="2"/>
    </row>
    <row r="7" spans="1:5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 ht="52.8" x14ac:dyDescent="0.25">
      <c r="A8" s="13" t="s">
        <v>8</v>
      </c>
      <c r="B8" s="9" t="s">
        <v>15</v>
      </c>
      <c r="C8" s="11">
        <v>4</v>
      </c>
      <c r="D8" s="14">
        <v>320000</v>
      </c>
      <c r="E8" s="12">
        <f t="shared" ref="E8:E16" si="0">C8*D8</f>
        <v>1280000</v>
      </c>
    </row>
    <row r="9" spans="1:5" ht="52.8" x14ac:dyDescent="0.25">
      <c r="A9" s="13" t="s">
        <v>8</v>
      </c>
      <c r="B9" s="10" t="s">
        <v>16</v>
      </c>
      <c r="C9" s="15">
        <v>4</v>
      </c>
      <c r="D9" s="16">
        <v>180000</v>
      </c>
      <c r="E9" s="17">
        <f t="shared" si="0"/>
        <v>720000</v>
      </c>
    </row>
    <row r="10" spans="1:5" ht="52.8" x14ac:dyDescent="0.25">
      <c r="A10" s="13" t="s">
        <v>8</v>
      </c>
      <c r="B10" s="10" t="s">
        <v>17</v>
      </c>
      <c r="C10" s="15">
        <v>1</v>
      </c>
      <c r="D10" s="16">
        <v>2600000</v>
      </c>
      <c r="E10" s="17">
        <f t="shared" si="0"/>
        <v>2600000</v>
      </c>
    </row>
    <row r="11" spans="1:5" ht="52.8" x14ac:dyDescent="0.25">
      <c r="A11" s="13" t="s">
        <v>8</v>
      </c>
      <c r="B11" s="10" t="s">
        <v>18</v>
      </c>
      <c r="C11" s="15">
        <v>1</v>
      </c>
      <c r="D11" s="16">
        <v>1600000</v>
      </c>
      <c r="E11" s="17">
        <f t="shared" si="0"/>
        <v>1600000</v>
      </c>
    </row>
    <row r="12" spans="1:5" ht="39.6" x14ac:dyDescent="0.25">
      <c r="A12" s="13" t="s">
        <v>8</v>
      </c>
      <c r="B12" s="10" t="s">
        <v>19</v>
      </c>
      <c r="C12" s="15">
        <v>1</v>
      </c>
      <c r="D12" s="16">
        <v>1400000</v>
      </c>
      <c r="E12" s="17">
        <f t="shared" si="0"/>
        <v>1400000</v>
      </c>
    </row>
    <row r="13" spans="1:5" ht="66" x14ac:dyDescent="0.25">
      <c r="A13" s="13" t="s">
        <v>8</v>
      </c>
      <c r="B13" s="10" t="s">
        <v>20</v>
      </c>
      <c r="C13" s="15">
        <v>1</v>
      </c>
      <c r="D13" s="16">
        <v>1100000</v>
      </c>
      <c r="E13" s="17">
        <f t="shared" si="0"/>
        <v>1100000</v>
      </c>
    </row>
    <row r="14" spans="1:5" ht="66" x14ac:dyDescent="0.25">
      <c r="A14" s="13" t="s">
        <v>13</v>
      </c>
      <c r="B14" s="10" t="s">
        <v>21</v>
      </c>
      <c r="C14" s="15">
        <v>1</v>
      </c>
      <c r="D14" s="16">
        <v>1500000</v>
      </c>
      <c r="E14" s="17">
        <f t="shared" si="0"/>
        <v>1500000</v>
      </c>
    </row>
    <row r="15" spans="1:5" ht="52.8" x14ac:dyDescent="0.25">
      <c r="A15" s="13" t="s">
        <v>13</v>
      </c>
      <c r="B15" s="10" t="s">
        <v>22</v>
      </c>
      <c r="C15" s="15">
        <v>1</v>
      </c>
      <c r="D15" s="16">
        <v>900000</v>
      </c>
      <c r="E15" s="17">
        <f t="shared" si="0"/>
        <v>900000</v>
      </c>
    </row>
    <row r="16" spans="1:5" ht="66" x14ac:dyDescent="0.25">
      <c r="A16" s="13" t="s">
        <v>14</v>
      </c>
      <c r="B16" s="10" t="s">
        <v>23</v>
      </c>
      <c r="C16" s="15">
        <v>1</v>
      </c>
      <c r="D16" s="18">
        <v>900000</v>
      </c>
      <c r="E16" s="19">
        <f t="shared" si="0"/>
        <v>900000</v>
      </c>
    </row>
    <row r="17" spans="4:5" ht="19.2" x14ac:dyDescent="0.35">
      <c r="D17" s="20" t="s">
        <v>9</v>
      </c>
      <c r="E17" s="21">
        <f>+SUM(E8:E16)</f>
        <v>12000000</v>
      </c>
    </row>
  </sheetData>
  <mergeCells count="5">
    <mergeCell ref="C1:E2"/>
    <mergeCell ref="B3:E3"/>
    <mergeCell ref="B4:E4"/>
    <mergeCell ref="B5:E5"/>
    <mergeCell ref="A1:B2"/>
  </mergeCells>
  <dataValidations count="1">
    <dataValidation type="list" allowBlank="1" showErrorMessage="1" sqref="A8:A16" xr:uid="{6C9523CC-7225-433B-B937-31215C8C5F63}">
      <formula1>"Materiales e insumos,Alquiler,Compra de Equipos,Refrigerios,Honorarios,Eventos,Desarrollo tecnológico,Diseño y comunicaciones,Mejora en infraestructura,Administracion,Imprevistos,Otros"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"/>
  <sheetViews>
    <sheetView workbookViewId="0">
      <selection activeCell="D6" sqref="D6"/>
    </sheetView>
  </sheetViews>
  <sheetFormatPr baseColWidth="10" defaultColWidth="12.6640625" defaultRowHeight="15.75" customHeight="1" x14ac:dyDescent="0.25"/>
  <cols>
    <col min="1" max="1" width="24" customWidth="1"/>
    <col min="2" max="2" width="27.33203125" customWidth="1"/>
    <col min="3" max="3" width="17.109375" customWidth="1"/>
    <col min="4" max="4" width="12.6640625" customWidth="1"/>
    <col min="5" max="6" width="14" customWidth="1"/>
    <col min="7" max="7" width="13.33203125" customWidth="1"/>
  </cols>
  <sheetData>
    <row r="1" spans="1:7" ht="15.75" customHeight="1" x14ac:dyDescent="0.25">
      <c r="A1" s="22" t="s">
        <v>29</v>
      </c>
      <c r="B1" s="23"/>
      <c r="C1" s="23" t="e" vm="3">
        <v>#VALUE!</v>
      </c>
      <c r="D1" s="23"/>
      <c r="E1" s="23"/>
      <c r="F1" s="23"/>
      <c r="G1" s="23"/>
    </row>
    <row r="2" spans="1:7" ht="15.75" customHeight="1" x14ac:dyDescent="0.25">
      <c r="A2" s="23"/>
      <c r="B2" s="23"/>
      <c r="C2" s="23"/>
      <c r="D2" s="23"/>
      <c r="E2" s="23"/>
      <c r="F2" s="23"/>
      <c r="G2" s="23"/>
    </row>
    <row r="3" spans="1:7" ht="15.75" customHeight="1" x14ac:dyDescent="0.25">
      <c r="A3" s="23"/>
      <c r="B3" s="23"/>
      <c r="C3" s="23"/>
      <c r="D3" s="23"/>
      <c r="E3" s="23"/>
      <c r="F3" s="23"/>
      <c r="G3" s="23"/>
    </row>
    <row r="4" spans="1:7" ht="15.75" customHeight="1" x14ac:dyDescent="0.25">
      <c r="A4" s="24"/>
      <c r="B4" s="24"/>
      <c r="C4" s="24"/>
      <c r="D4" s="24"/>
      <c r="E4" s="24"/>
      <c r="F4" s="24"/>
      <c r="G4" s="24"/>
    </row>
    <row r="5" spans="1:7" ht="13.2" x14ac:dyDescent="0.25">
      <c r="A5" s="31" t="s">
        <v>10</v>
      </c>
      <c r="B5" s="31" t="s">
        <v>4</v>
      </c>
      <c r="C5" s="32">
        <v>46327</v>
      </c>
      <c r="D5" s="32">
        <v>46388</v>
      </c>
      <c r="E5" s="33">
        <v>46419</v>
      </c>
      <c r="F5" s="33">
        <v>46447</v>
      </c>
      <c r="G5" s="33">
        <v>46478</v>
      </c>
    </row>
    <row r="6" spans="1:7" ht="135" customHeight="1" x14ac:dyDescent="0.25">
      <c r="A6" s="29" t="s">
        <v>34</v>
      </c>
      <c r="B6" s="29" t="s">
        <v>24</v>
      </c>
      <c r="C6" s="27"/>
      <c r="D6" s="25"/>
      <c r="E6" s="25"/>
      <c r="F6" s="25"/>
      <c r="G6" s="25"/>
    </row>
    <row r="7" spans="1:7" ht="94.2" customHeight="1" x14ac:dyDescent="0.25">
      <c r="A7" s="29" t="s">
        <v>33</v>
      </c>
      <c r="B7" s="29" t="s">
        <v>25</v>
      </c>
      <c r="C7" s="25"/>
      <c r="D7" s="27"/>
      <c r="E7" s="25"/>
      <c r="F7" s="25"/>
      <c r="G7" s="25"/>
    </row>
    <row r="8" spans="1:7" ht="118.8" x14ac:dyDescent="0.25">
      <c r="A8" s="30" t="s">
        <v>32</v>
      </c>
      <c r="B8" s="30" t="s">
        <v>26</v>
      </c>
      <c r="C8" s="25"/>
      <c r="D8" s="25"/>
      <c r="E8" s="26"/>
      <c r="F8" s="28"/>
      <c r="G8" s="25"/>
    </row>
    <row r="9" spans="1:7" ht="132" x14ac:dyDescent="0.25">
      <c r="A9" s="30" t="s">
        <v>31</v>
      </c>
      <c r="B9" s="30" t="s">
        <v>27</v>
      </c>
      <c r="C9" s="25"/>
      <c r="D9" s="25"/>
      <c r="E9" s="26"/>
      <c r="F9" s="26"/>
      <c r="G9" s="25"/>
    </row>
    <row r="10" spans="1:7" ht="92.4" x14ac:dyDescent="0.25">
      <c r="A10" s="29" t="s">
        <v>30</v>
      </c>
      <c r="B10" s="30" t="s">
        <v>28</v>
      </c>
      <c r="C10" s="25"/>
      <c r="D10" s="25"/>
      <c r="E10" s="25"/>
      <c r="F10" s="25"/>
      <c r="G10" s="26"/>
    </row>
  </sheetData>
  <mergeCells count="2">
    <mergeCell ref="A1:B3"/>
    <mergeCell ref="C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</vt:lpstr>
      <vt:lpstr>CRONOGRAMA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MANUELA</dc:creator>
  <cp:keywords/>
  <dc:description/>
  <cp:lastModifiedBy>SERVIDOR</cp:lastModifiedBy>
  <cp:revision/>
  <dcterms:created xsi:type="dcterms:W3CDTF">2026-07-17T20:35:45Z</dcterms:created>
  <dcterms:modified xsi:type="dcterms:W3CDTF">2026-09-11T16:16:56Z</dcterms:modified>
  <cp:category/>
  <cp:contentStatus/>
</cp:coreProperties>
</file>